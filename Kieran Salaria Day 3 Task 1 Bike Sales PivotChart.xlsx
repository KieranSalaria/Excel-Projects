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Bootcamp Course - JustIT\Week 01 - Introduction of Excel\Week 1 Excel - Class Materials\Day 3\"/>
    </mc:Choice>
  </mc:AlternateContent>
  <xr:revisionPtr revIDLastSave="0" documentId="13_ncr:1_{29F2FE91-4A97-468D-BCB7-4C92A428687C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Sheet3" sheetId="4" r:id="rId1"/>
    <sheet name="Sheet5" sheetId="6" r:id="rId2"/>
    <sheet name="Sheet6" sheetId="7" r:id="rId3"/>
    <sheet name="Bike Sales" sheetId="1" r:id="rId4"/>
    <sheet name="Final PivotTables" sheetId="2" r:id="rId5"/>
  </sheets>
  <definedNames>
    <definedName name="_xlnm._FilterDatabase" localSheetId="3" hidden="1">'Bike Sales'!$A$1:$T$89</definedName>
  </definedNames>
  <calcPr calcId="191028"/>
  <pivotCaches>
    <pivotCache cacheId="5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2" i="1"/>
  <c r="J88" i="1"/>
  <c r="J86" i="1"/>
  <c r="J81" i="1"/>
  <c r="J80" i="1"/>
  <c r="J72" i="1"/>
  <c r="J68" i="1"/>
  <c r="J67" i="1"/>
  <c r="J66" i="1"/>
  <c r="J62" i="1"/>
  <c r="J60" i="1"/>
  <c r="J53" i="1"/>
  <c r="J49" i="1"/>
  <c r="J47" i="1"/>
  <c r="J46" i="1"/>
  <c r="J43" i="1"/>
  <c r="J41" i="1"/>
  <c r="J38" i="1"/>
  <c r="J36" i="1"/>
  <c r="J35" i="1"/>
  <c r="J30" i="1"/>
  <c r="J29" i="1"/>
  <c r="J26" i="1"/>
  <c r="J23" i="1"/>
  <c r="J22" i="1"/>
  <c r="J19" i="1"/>
  <c r="J18" i="1"/>
  <c r="J13" i="1"/>
  <c r="J10" i="1"/>
  <c r="J8" i="1"/>
  <c r="J6" i="1"/>
  <c r="J4" i="1"/>
  <c r="J2" i="1"/>
  <c r="G93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2" i="1"/>
</calcChain>
</file>

<file path=xl/sharedStrings.xml><?xml version="1.0" encoding="utf-8"?>
<sst xmlns="http://schemas.openxmlformats.org/spreadsheetml/2006/main" count="835" uniqueCount="161">
  <si>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</si>
  <si>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</si>
  <si>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</si>
  <si>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</si>
  <si>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</si>
  <si>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</si>
  <si>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</si>
  <si>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</si>
  <si>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</si>
  <si>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</si>
  <si>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</si>
  <si>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</si>
  <si>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</si>
  <si>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</si>
  <si>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</si>
  <si>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</si>
  <si>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</si>
  <si>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</si>
  <si>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</si>
  <si>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</si>
  <si>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</si>
  <si>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</si>
  <si>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</si>
  <si>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</si>
  <si>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</si>
  <si>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</si>
  <si>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</si>
  <si>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</si>
  <si>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</si>
  <si>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</si>
  <si>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</si>
  <si>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</si>
  <si>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</si>
  <si>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</si>
  <si>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</si>
  <si>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</si>
  <si>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</si>
  <si>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</si>
  <si>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</si>
  <si>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</si>
  <si>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</si>
  <si>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</si>
  <si>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</si>
  <si>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</si>
  <si>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</si>
  <si>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</si>
  <si>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</si>
  <si>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</si>
  <si>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</si>
  <si>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</si>
  <si>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</si>
  <si>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</si>
  <si>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</si>
  <si>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</si>
  <si>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</si>
  <si>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</si>
  <si>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</si>
  <si>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</si>
  <si>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</si>
  <si>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</si>
  <si>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</si>
  <si>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</si>
  <si>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</si>
  <si>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</si>
  <si>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</si>
  <si>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</si>
  <si>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</si>
  <si>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</si>
  <si>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</si>
  <si>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</si>
  <si>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</si>
  <si>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</si>
  <si>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</si>
  <si>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</si>
  <si>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</si>
  <si>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</si>
  <si>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</si>
  <si>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</si>
  <si>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</si>
  <si>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</si>
  <si>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</si>
  <si>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</si>
  <si>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</si>
  <si>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</si>
  <si>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</si>
  <si>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</si>
  <si>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</si>
  <si>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</si>
  <si>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</si>
  <si>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</si>
  <si>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</si>
  <si>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</si>
  <si>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</si>
  <si>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</si>
  <si>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</si>
  <si>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</si>
  <si>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</si>
  <si>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</si>
  <si>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</si>
  <si>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</si>
  <si>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</si>
  <si>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</si>
  <si>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</si>
  <si>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</si>
  <si>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</si>
  <si>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</si>
  <si>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</si>
  <si>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</si>
  <si>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</si>
  <si>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</si>
  <si>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</si>
  <si>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</si>
  <si>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</si>
  <si>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</si>
  <si>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</si>
  <si>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</si>
  <si>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</si>
  <si>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</si>
  <si>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</si>
  <si>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</si>
  <si>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</si>
  <si>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</si>
  <si>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</si>
  <si>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</si>
  <si>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</si>
  <si>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</si>
  <si>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</si>
  <si>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</si>
  <si>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</si>
  <si>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</si>
  <si>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</si>
  <si>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</si>
  <si>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</si>
  <si>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</si>
  <si>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</si>
  <si>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</si>
  <si>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</si>
  <si>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</si>
  <si>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</si>
  <si>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</si>
  <si>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</si>
  <si>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</si>
  <si>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</si>
  <si>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</si>
  <si>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</si>
  <si>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</si>
  <si>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</si>
  <si>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</si>
  <si>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</si>
  <si>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</si>
  <si>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</si>
  <si>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</si>
  <si>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</si>
  <si>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</si>
  <si>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</si>
  <si>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</si>
  <si>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Row Labels</t>
  </si>
  <si>
    <t>Grand Total</t>
  </si>
  <si>
    <t>Age Group</t>
  </si>
  <si>
    <t>Sales Summary</t>
  </si>
  <si>
    <t>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</si>
</sst>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[Day_3_Task_1_Bike_Sales_Pivot_Lab - Zak.xlsx]Final PivotTables!PivotTable18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'Final PivotTables'!$B$3:$B$4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'Final PivotTables'!$A$5:$A$14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'Final PivotTables'!$B$5:$B$14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4-4548-89EB-A53760176731}"/>
            </c:ext>
          </c:extLst>
        </c:ser>
        <c:ser>
          <c:idx val="1"/>
          <c:order val="1"/>
          <c:tx>
            <c:strRef>
              <c:f>'Final PivotTables'!$C$3:$C$4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'Final PivotTables'!$A$5:$A$14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'Final PivotTables'!$C$5:$C$14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414-4548-89EB-A53760176731}"/>
            </c:ext>
          </c:extLst>
        </c:ser>
        <c:ser>
          <c:idx val="2"/>
          <c:order val="2"/>
          <c:tx>
            <c:strRef>
              <c:f>'Final PivotTables'!$D$3:$D$4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'Final PivotTables'!$A$5:$A$14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'Final PivotTables'!$D$5:$D$14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414-4548-89EB-A53760176731}"/>
            </c:ext>
          </c:extLst>
        </c:ser>
        <c:ser>
          <c:idx val="3"/>
          <c:order val="3"/>
          <c:tx>
            <c:strRef>
              <c:f>'Final PivotTables'!$E$3:$E$4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'Final PivotTables'!$A$5:$A$14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'Final PivotTables'!$E$5:$E$14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414-4548-89EB-A53760176731}"/>
            </c:ext>
          </c:extLst>
        </c:ser>
        <c:ser>
          <c:idx val="4"/>
          <c:order val="4"/>
          <c:tx>
            <c:strRef>
              <c:f>'Final PivotTables'!$F$3:$F$4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'Final PivotTables'!$A$5:$A$14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'Final PivotTables'!$F$5:$F$14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414-4548-89EB-A53760176731}"/>
            </c:ext>
          </c:extLst>
        </c:ser>
        <c:ser>
          <c:idx val="5"/>
          <c:order val="5"/>
          <c:tx>
            <c:strRef>
              <c:f>'Final PivotTables'!$G$3:$G$4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'Final PivotTables'!$A$5:$A$14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'Final PivotTables'!$G$5:$G$14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414-4548-89EB-A5376017673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0757823"/>
        <c:axId val="1220758303"/>
      </c:barChart>
      <c:catAx>
        <c:axId val="122075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758303"/>
        <c:crosses val="autoZero"/>
        <c:auto val="1"/>
        <c:lblAlgn val="ctr"/>
        <c:lblOffset val="100"/>
        <c:noMultiLvlLbl val="0"/>
      </c:catAx>
      <c:valAx>
        <c:axId val="122075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75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15</xdr:row>
      <xdr:rowOff>148590</xdr:rowOff>
    </xdr:from>
    <xdr:to>
      <xdr:col>9</xdr:col>
      <xdr:colOff>731520</xdr:colOff>
      <xdr:row>30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B7DDB5-51BE-8332-D30D-FBA8771F2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eran Salaria" refreshedDate="45994.57590891204" createdVersion="8" refreshedVersion="8" minRefreshableVersion="3" recordCount="88" xr:uid="{B7595E23-B437-4A21-BB12-2C72B4CF13A3}">
  <cacheSource type="worksheet">
    <worksheetSource ref="A1:T89" sheet="Bike Sales"/>
  </cacheSource>
  <cacheFields count="20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ies" numFmtId="0">
      <sharedItems count="6">
        <s v="United States"/>
        <s v="United Kingdom"/>
        <s v="Australia"/>
        <s v="Germany"/>
        <s v="Canada"/>
        <s v="France"/>
      </sharedItems>
    </cacheField>
    <cacheField name="Country" numFmtId="0">
      <sharedItems count="8">
        <s v="United States"/>
        <s v="United Kingdom"/>
        <s v="Australia"/>
        <s v="Germany"/>
        <s v="Canada"/>
        <s v="France"/>
        <s v="United  States" u="1"/>
        <s v="United States " u="1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8B4381-BC07-43EE-B0BB-B131BC6CD4AE}" name="PivotTable20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E16D3-C0A2-4608-B97B-79FE45F6FEC3}" name="PivotTable22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0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83C5E-26CE-468E-A85E-F7084A23FB1F}" name="PivotTable23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37" firstHeaderRow="1" firstDataRow="1" firstDataCol="1"/>
  <pivotFields count="20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axis="axisRow" showAll="0">
      <items count="9">
        <item x="2"/>
        <item x="4"/>
        <item x="5"/>
        <item x="3"/>
        <item m="1" x="6"/>
        <item x="1"/>
        <item x="0"/>
        <item m="1" x="7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</pivotFields>
  <rowFields count="3">
    <field x="6"/>
    <field x="7"/>
    <field x="9"/>
  </rowFields>
  <rowItems count="34">
    <i>
      <x/>
    </i>
    <i r="1">
      <x/>
    </i>
    <i r="2">
      <x/>
    </i>
    <i r="2">
      <x v="3"/>
    </i>
    <i r="2">
      <x v="5"/>
    </i>
    <i r="2">
      <x v="6"/>
    </i>
    <i r="1">
      <x v="1"/>
    </i>
    <i r="2">
      <x/>
    </i>
    <i r="2">
      <x v="3"/>
    </i>
    <i r="2">
      <x v="5"/>
    </i>
    <i r="2">
      <x v="6"/>
    </i>
    <i>
      <x v="1"/>
    </i>
    <i r="1">
      <x/>
    </i>
    <i r="2">
      <x/>
    </i>
    <i r="2">
      <x v="1"/>
    </i>
    <i r="2">
      <x v="2"/>
    </i>
    <i r="2">
      <x v="5"/>
    </i>
    <i r="2">
      <x v="6"/>
    </i>
    <i r="1">
      <x v="1"/>
    </i>
    <i r="2">
      <x/>
    </i>
    <i r="2">
      <x v="1"/>
    </i>
    <i r="2">
      <x v="2"/>
    </i>
    <i r="2">
      <x v="5"/>
    </i>
    <i r="2">
      <x v="6"/>
    </i>
    <i>
      <x v="2"/>
    </i>
    <i r="1">
      <x/>
    </i>
    <i r="2">
      <x/>
    </i>
    <i r="2">
      <x v="2"/>
    </i>
    <i r="2">
      <x v="5"/>
    </i>
    <i r="1">
      <x v="1"/>
    </i>
    <i r="2">
      <x/>
    </i>
    <i r="2">
      <x v="2"/>
    </i>
    <i r="2"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E69318-AE78-4C2F-B554-B88D071F6CBA}" name="PivotTable18" cacheId="52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14" rowHeaderCaption="Age Group" colHeaderCaption="Country">
  <location ref="A3:H14" firstHeaderRow="1" firstDataRow="2" firstDataCol="1"/>
  <pivotFields count="20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7">
        <item x="2"/>
        <item x="4"/>
        <item x="5"/>
        <item x="3"/>
        <item x="1"/>
        <item x="0"/>
        <item t="default"/>
      </items>
    </pivotField>
    <pivotField showAll="0">
      <items count="9">
        <item x="2"/>
        <item x="4"/>
        <item x="5"/>
        <item x="3"/>
        <item m="1" x="6"/>
        <item x="1"/>
        <item x="0"/>
        <item m="1" x="7"/>
        <item t="default"/>
      </items>
    </pivotField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</pivotFields>
  <rowFields count="2">
    <field x="6"/>
    <field x="7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ales Summary" fld="14" baseField="6" baseItem="0"/>
  </dataFields>
  <formats count="9">
    <format dxfId="0">
      <pivotArea collapsedLevelsAreSubtotals="1" fieldPosition="0">
        <references count="1">
          <reference field="6" count="0"/>
        </references>
      </pivotArea>
    </format>
    <format dxfId="1">
      <pivotArea dataOnly="0" labelOnly="1" grandCol="1" outline="0" fieldPosition="0"/>
    </format>
    <format dxfId="2">
      <pivotArea grandRow="1" outline="0" collapsedLevelsAreSubtotals="1" fieldPosition="0"/>
    </format>
    <format dxfId="3">
      <pivotArea collapsedLevelsAreSubtotals="1" fieldPosition="0">
        <references count="1">
          <reference field="6" count="1">
            <x v="0"/>
          </reference>
        </references>
      </pivotArea>
    </format>
    <format dxfId="4">
      <pivotArea collapsedLevelsAreSubtotals="1" fieldPosition="0">
        <references count="2">
          <reference field="6" count="1" selected="0">
            <x v="0"/>
          </reference>
          <reference field="7" count="0"/>
        </references>
      </pivotArea>
    </format>
    <format dxfId="5">
      <pivotArea collapsedLevelsAreSubtotals="1" fieldPosition="0">
        <references count="1">
          <reference field="6" count="1">
            <x v="1"/>
          </reference>
        </references>
      </pivotArea>
    </format>
    <format dxfId="6">
      <pivotArea collapsedLevelsAreSubtotals="1" fieldPosition="0">
        <references count="2">
          <reference field="6" count="1" selected="0">
            <x v="1"/>
          </reference>
          <reference field="7" count="0"/>
        </references>
      </pivotArea>
    </format>
    <format dxfId="7">
      <pivotArea collapsedLevelsAreSubtotals="1" fieldPosition="0">
        <references count="1">
          <reference field="6" count="1">
            <x v="2"/>
          </reference>
        </references>
      </pivotArea>
    </format>
    <format dxfId="8">
      <pivotArea collapsedLevelsAreSubtotals="1" fieldPosition="0">
        <references count="2">
          <reference field="6" count="1" selected="0">
            <x v="2"/>
          </reference>
          <reference field="7" count="0"/>
        </references>
      </pivotArea>
    </format>
  </formats>
  <chartFormats count="6"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9960-B82E-4C23-94C3-57F09A5FA403}">
  <dimension ref="A3:C20"/>
  <sheetViews>
    <sheetView topLeftCell="A4" workbookViewId="0">
      <selection activeCell="D36" sqref="D36"/>
    </sheetView>
  </sheetViews>
  <sheetFormatPr defaultRowHeight="14.4" x14ac:dyDescent="0.3"/>
  <cols>
    <col min="1" max="1" width="14" bestFit="1" customWidth="1"/>
  </cols>
  <sheetData>
    <row r="3" spans="1:3" x14ac:dyDescent="0.3">
      <c r="A3" s="9"/>
      <c r="B3" s="10"/>
      <c r="C3" s="11"/>
    </row>
    <row r="4" spans="1:3" x14ac:dyDescent="0.3">
      <c r="A4" s="12"/>
      <c r="B4" s="13"/>
      <c r="C4" s="14"/>
    </row>
    <row r="5" spans="1:3" x14ac:dyDescent="0.3">
      <c r="A5" s="12"/>
      <c r="B5" s="13"/>
      <c r="C5" s="14"/>
    </row>
    <row r="6" spans="1:3" x14ac:dyDescent="0.3">
      <c r="A6" s="12"/>
      <c r="B6" s="13"/>
      <c r="C6" s="14"/>
    </row>
    <row r="7" spans="1:3" x14ac:dyDescent="0.3">
      <c r="A7" s="12"/>
      <c r="B7" s="13"/>
      <c r="C7" s="14"/>
    </row>
    <row r="8" spans="1:3" x14ac:dyDescent="0.3">
      <c r="A8" s="12"/>
      <c r="B8" s="13"/>
      <c r="C8" s="14"/>
    </row>
    <row r="9" spans="1:3" x14ac:dyDescent="0.3">
      <c r="A9" s="12"/>
      <c r="B9" s="13"/>
      <c r="C9" s="14"/>
    </row>
    <row r="10" spans="1:3" x14ac:dyDescent="0.3">
      <c r="A10" s="12"/>
      <c r="B10" s="13"/>
      <c r="C10" s="14"/>
    </row>
    <row r="11" spans="1:3" x14ac:dyDescent="0.3">
      <c r="A11" s="12"/>
      <c r="B11" s="13"/>
      <c r="C11" s="14"/>
    </row>
    <row r="12" spans="1:3" x14ac:dyDescent="0.3">
      <c r="A12" s="12"/>
      <c r="B12" s="13"/>
      <c r="C12" s="14"/>
    </row>
    <row r="13" spans="1:3" x14ac:dyDescent="0.3">
      <c r="A13" s="12"/>
      <c r="B13" s="13"/>
      <c r="C13" s="14"/>
    </row>
    <row r="14" spans="1:3" x14ac:dyDescent="0.3">
      <c r="A14" s="12"/>
      <c r="B14" s="13"/>
      <c r="C14" s="14"/>
    </row>
    <row r="15" spans="1:3" x14ac:dyDescent="0.3">
      <c r="A15" s="12"/>
      <c r="B15" s="13"/>
      <c r="C15" s="14"/>
    </row>
    <row r="16" spans="1:3" x14ac:dyDescent="0.3">
      <c r="A16" s="12"/>
      <c r="B16" s="13"/>
      <c r="C16" s="14"/>
    </row>
    <row r="17" spans="1:3" x14ac:dyDescent="0.3">
      <c r="A17" s="12"/>
      <c r="B17" s="13"/>
      <c r="C17" s="14"/>
    </row>
    <row r="18" spans="1:3" x14ac:dyDescent="0.3">
      <c r="A18" s="12"/>
      <c r="B18" s="13"/>
      <c r="C18" s="14"/>
    </row>
    <row r="19" spans="1:3" x14ac:dyDescent="0.3">
      <c r="A19" s="12"/>
      <c r="B19" s="13"/>
      <c r="C19" s="14"/>
    </row>
    <row r="20" spans="1:3" x14ac:dyDescent="0.3">
      <c r="A20" s="15"/>
      <c r="B20" s="16"/>
      <c r="C20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8556-41E5-4C26-95CA-DC721F8BE442}">
  <dimension ref="A3:C20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</cols>
  <sheetData>
    <row r="3" spans="1:3" x14ac:dyDescent="0.3">
      <c r="A3" s="9"/>
      <c r="B3" s="10"/>
      <c r="C3" s="11"/>
    </row>
    <row r="4" spans="1:3" x14ac:dyDescent="0.3">
      <c r="A4" s="12"/>
      <c r="B4" s="13"/>
      <c r="C4" s="14"/>
    </row>
    <row r="5" spans="1:3" x14ac:dyDescent="0.3">
      <c r="A5" s="12"/>
      <c r="B5" s="13"/>
      <c r="C5" s="14"/>
    </row>
    <row r="6" spans="1:3" x14ac:dyDescent="0.3">
      <c r="A6" s="12"/>
      <c r="B6" s="13"/>
      <c r="C6" s="14"/>
    </row>
    <row r="7" spans="1:3" x14ac:dyDescent="0.3">
      <c r="A7" s="12"/>
      <c r="B7" s="13"/>
      <c r="C7" s="14"/>
    </row>
    <row r="8" spans="1:3" x14ac:dyDescent="0.3">
      <c r="A8" s="12"/>
      <c r="B8" s="13"/>
      <c r="C8" s="14"/>
    </row>
    <row r="9" spans="1:3" x14ac:dyDescent="0.3">
      <c r="A9" s="12"/>
      <c r="B9" s="13"/>
      <c r="C9" s="14"/>
    </row>
    <row r="10" spans="1:3" x14ac:dyDescent="0.3">
      <c r="A10" s="12"/>
      <c r="B10" s="13"/>
      <c r="C10" s="14"/>
    </row>
    <row r="11" spans="1:3" x14ac:dyDescent="0.3">
      <c r="A11" s="12"/>
      <c r="B11" s="13"/>
      <c r="C11" s="14"/>
    </row>
    <row r="12" spans="1:3" x14ac:dyDescent="0.3">
      <c r="A12" s="12"/>
      <c r="B12" s="13"/>
      <c r="C12" s="14"/>
    </row>
    <row r="13" spans="1:3" x14ac:dyDescent="0.3">
      <c r="A13" s="12"/>
      <c r="B13" s="13"/>
      <c r="C13" s="14"/>
    </row>
    <row r="14" spans="1:3" x14ac:dyDescent="0.3">
      <c r="A14" s="12"/>
      <c r="B14" s="13"/>
      <c r="C14" s="14"/>
    </row>
    <row r="15" spans="1:3" x14ac:dyDescent="0.3">
      <c r="A15" s="12"/>
      <c r="B15" s="13"/>
      <c r="C15" s="14"/>
    </row>
    <row r="16" spans="1:3" x14ac:dyDescent="0.3">
      <c r="A16" s="12"/>
      <c r="B16" s="13"/>
      <c r="C16" s="14"/>
    </row>
    <row r="17" spans="1:3" x14ac:dyDescent="0.3">
      <c r="A17" s="12"/>
      <c r="B17" s="13"/>
      <c r="C17" s="14"/>
    </row>
    <row r="18" spans="1:3" x14ac:dyDescent="0.3">
      <c r="A18" s="12"/>
      <c r="B18" s="13"/>
      <c r="C18" s="14"/>
    </row>
    <row r="19" spans="1:3" x14ac:dyDescent="0.3">
      <c r="A19" s="12"/>
      <c r="B19" s="13"/>
      <c r="C19" s="14"/>
    </row>
    <row r="20" spans="1:3" x14ac:dyDescent="0.3">
      <c r="A20" s="15"/>
      <c r="B20" s="16"/>
      <c r="C20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1FD75-B81A-4C70-A0D0-11EB1B96AF59}">
  <dimension ref="A3:A37"/>
  <sheetViews>
    <sheetView workbookViewId="0">
      <selection activeCell="A3" sqref="A3"/>
    </sheetView>
  </sheetViews>
  <sheetFormatPr defaultRowHeight="14.4" x14ac:dyDescent="0.3"/>
  <cols>
    <col min="1" max="1" width="20.77734375" bestFit="1" customWidth="1"/>
  </cols>
  <sheetData>
    <row r="3" spans="1:1" x14ac:dyDescent="0.3">
      <c r="A3" s="18" t="s">
        <v>156</v>
      </c>
    </row>
    <row r="4" spans="1:1" x14ac:dyDescent="0.3">
      <c r="A4" s="8" t="s">
        <v>21</v>
      </c>
    </row>
    <row r="5" spans="1:1" x14ac:dyDescent="0.3">
      <c r="A5" s="19" t="s">
        <v>22</v>
      </c>
    </row>
    <row r="6" spans="1:1" x14ac:dyDescent="0.3">
      <c r="A6" s="22" t="s">
        <v>37</v>
      </c>
    </row>
    <row r="7" spans="1:1" x14ac:dyDescent="0.3">
      <c r="A7" s="22" t="s">
        <v>49</v>
      </c>
    </row>
    <row r="8" spans="1:1" x14ac:dyDescent="0.3">
      <c r="A8" s="22" t="s">
        <v>30</v>
      </c>
    </row>
    <row r="9" spans="1:1" x14ac:dyDescent="0.3">
      <c r="A9" s="22" t="s">
        <v>23</v>
      </c>
    </row>
    <row r="10" spans="1:1" x14ac:dyDescent="0.3">
      <c r="A10" s="19" t="s">
        <v>29</v>
      </c>
    </row>
    <row r="11" spans="1:1" x14ac:dyDescent="0.3">
      <c r="A11" s="22" t="s">
        <v>37</v>
      </c>
    </row>
    <row r="12" spans="1:1" x14ac:dyDescent="0.3">
      <c r="A12" s="22" t="s">
        <v>49</v>
      </c>
    </row>
    <row r="13" spans="1:1" x14ac:dyDescent="0.3">
      <c r="A13" s="22" t="s">
        <v>30</v>
      </c>
    </row>
    <row r="14" spans="1:1" x14ac:dyDescent="0.3">
      <c r="A14" s="22" t="s">
        <v>23</v>
      </c>
    </row>
    <row r="15" spans="1:1" x14ac:dyDescent="0.3">
      <c r="A15" s="8" t="s">
        <v>36</v>
      </c>
    </row>
    <row r="16" spans="1:1" x14ac:dyDescent="0.3">
      <c r="A16" s="19" t="s">
        <v>22</v>
      </c>
    </row>
    <row r="17" spans="1:1" x14ac:dyDescent="0.3">
      <c r="A17" s="22" t="s">
        <v>37</v>
      </c>
    </row>
    <row r="18" spans="1:1" x14ac:dyDescent="0.3">
      <c r="A18" s="22" t="s">
        <v>57</v>
      </c>
    </row>
    <row r="19" spans="1:1" x14ac:dyDescent="0.3">
      <c r="A19" s="22" t="s">
        <v>86</v>
      </c>
    </row>
    <row r="20" spans="1:1" x14ac:dyDescent="0.3">
      <c r="A20" s="22" t="s">
        <v>30</v>
      </c>
    </row>
    <row r="21" spans="1:1" x14ac:dyDescent="0.3">
      <c r="A21" s="22" t="s">
        <v>23</v>
      </c>
    </row>
    <row r="22" spans="1:1" x14ac:dyDescent="0.3">
      <c r="A22" s="19" t="s">
        <v>29</v>
      </c>
    </row>
    <row r="23" spans="1:1" x14ac:dyDescent="0.3">
      <c r="A23" s="22" t="s">
        <v>37</v>
      </c>
    </row>
    <row r="24" spans="1:1" x14ac:dyDescent="0.3">
      <c r="A24" s="22" t="s">
        <v>57</v>
      </c>
    </row>
    <row r="25" spans="1:1" x14ac:dyDescent="0.3">
      <c r="A25" s="22" t="s">
        <v>86</v>
      </c>
    </row>
    <row r="26" spans="1:1" x14ac:dyDescent="0.3">
      <c r="A26" s="22" t="s">
        <v>30</v>
      </c>
    </row>
    <row r="27" spans="1:1" x14ac:dyDescent="0.3">
      <c r="A27" s="22" t="s">
        <v>23</v>
      </c>
    </row>
    <row r="28" spans="1:1" x14ac:dyDescent="0.3">
      <c r="A28" s="8" t="s">
        <v>42</v>
      </c>
    </row>
    <row r="29" spans="1:1" x14ac:dyDescent="0.3">
      <c r="A29" s="19" t="s">
        <v>22</v>
      </c>
    </row>
    <row r="30" spans="1:1" x14ac:dyDescent="0.3">
      <c r="A30" s="22" t="s">
        <v>37</v>
      </c>
    </row>
    <row r="31" spans="1:1" x14ac:dyDescent="0.3">
      <c r="A31" s="22" t="s">
        <v>86</v>
      </c>
    </row>
    <row r="32" spans="1:1" x14ac:dyDescent="0.3">
      <c r="A32" s="22" t="s">
        <v>30</v>
      </c>
    </row>
    <row r="33" spans="1:1" x14ac:dyDescent="0.3">
      <c r="A33" s="19" t="s">
        <v>29</v>
      </c>
    </row>
    <row r="34" spans="1:1" x14ac:dyDescent="0.3">
      <c r="A34" s="22" t="s">
        <v>37</v>
      </c>
    </row>
    <row r="35" spans="1:1" x14ac:dyDescent="0.3">
      <c r="A35" s="22" t="s">
        <v>86</v>
      </c>
    </row>
    <row r="36" spans="1:1" x14ac:dyDescent="0.3">
      <c r="A36" s="22" t="s">
        <v>30</v>
      </c>
    </row>
    <row r="37" spans="1:1" x14ac:dyDescent="0.3">
      <c r="A37" s="8" t="s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3"/>
  <sheetViews>
    <sheetView workbookViewId="0">
      <selection activeCell="I3" sqref="I3"/>
    </sheetView>
  </sheetViews>
  <sheetFormatPr defaultRowHeight="14.4" x14ac:dyDescent="0.3"/>
  <cols>
    <col min="1" max="1" width="13.33203125" bestFit="1" customWidth="1"/>
    <col min="2" max="2" width="10.6640625" bestFit="1" customWidth="1"/>
    <col min="4" max="4" width="10.109375" bestFit="1" customWidth="1"/>
    <col min="7" max="7" width="19.6640625" style="8" bestFit="1" customWidth="1"/>
    <col min="8" max="8" width="17.109375" bestFit="1" customWidth="1"/>
    <col min="9" max="9" width="17.109375" customWidth="1"/>
    <col min="10" max="10" width="15.44140625" bestFit="1" customWidth="1"/>
    <col min="11" max="11" width="19.88671875" bestFit="1" customWidth="1"/>
    <col min="12" max="12" width="16.33203125" bestFit="1" customWidth="1"/>
    <col min="13" max="13" width="14.88671875" bestFit="1" customWidth="1"/>
    <col min="14" max="14" width="25" bestFit="1" customWidth="1"/>
    <col min="15" max="15" width="14.5546875" bestFit="1" customWidth="1"/>
    <col min="16" max="16" width="10.44140625" bestFit="1" customWidth="1"/>
    <col min="17" max="17" width="11" bestFit="1" customWidth="1"/>
    <col min="18" max="19" width="9.88671875" bestFit="1" customWidth="1"/>
    <col min="20" max="20" width="10.88671875" bestFit="1" customWidth="1"/>
  </cols>
  <sheetData>
    <row r="1" spans="1:20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160</v>
      </c>
      <c r="J1" s="4" t="s">
        <v>8</v>
      </c>
      <c r="K1" s="4" t="s">
        <v>9</v>
      </c>
      <c r="L1" s="4" t="s">
        <v>10</v>
      </c>
      <c r="M1" s="4" t="s">
        <v>11</v>
      </c>
      <c r="N1" s="6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pans="1:20" x14ac:dyDescent="0.3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tr">
        <f>TRIM(J2)</f>
        <v>United States</v>
      </c>
      <c r="J2" t="str">
        <f>TRIM("United States")</f>
        <v>United States</v>
      </c>
      <c r="K2" t="s">
        <v>24</v>
      </c>
      <c r="L2" t="s">
        <v>25</v>
      </c>
      <c r="M2" t="s">
        <v>26</v>
      </c>
      <c r="N2" s="5" t="s">
        <v>27</v>
      </c>
      <c r="O2">
        <v>4</v>
      </c>
      <c r="P2" s="2">
        <v>1252</v>
      </c>
      <c r="Q2" s="2">
        <v>2295</v>
      </c>
      <c r="R2" s="2">
        <v>4172</v>
      </c>
      <c r="S2" s="2">
        <f>O2*P2</f>
        <v>5008</v>
      </c>
      <c r="T2" s="2">
        <f>O2*Q2</f>
        <v>9180</v>
      </c>
    </row>
    <row r="3" spans="1:20" x14ac:dyDescent="0.3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tr">
        <f t="shared" ref="I3:I66" si="0">TRIM(J3)</f>
        <v>United Kingdom</v>
      </c>
      <c r="J3" t="s">
        <v>30</v>
      </c>
      <c r="K3" t="s">
        <v>31</v>
      </c>
      <c r="L3" t="s">
        <v>25</v>
      </c>
      <c r="M3" t="s">
        <v>26</v>
      </c>
      <c r="N3" s="5" t="s">
        <v>32</v>
      </c>
      <c r="O3">
        <v>1</v>
      </c>
      <c r="P3" s="2">
        <v>1266</v>
      </c>
      <c r="Q3" s="2">
        <v>2320</v>
      </c>
      <c r="R3" s="2">
        <v>1054</v>
      </c>
      <c r="S3" s="2">
        <f t="shared" ref="S3:S66" si="1">O3*P3</f>
        <v>1266</v>
      </c>
      <c r="T3" s="2">
        <f t="shared" ref="T3:T66" si="2">O3*Q3</f>
        <v>2320</v>
      </c>
    </row>
    <row r="4" spans="1:20" x14ac:dyDescent="0.3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tr">
        <f t="shared" si="0"/>
        <v>United States</v>
      </c>
      <c r="J4" t="str">
        <f>TRIM("United States")</f>
        <v>United States</v>
      </c>
      <c r="K4" t="s">
        <v>24</v>
      </c>
      <c r="L4" t="s">
        <v>25</v>
      </c>
      <c r="M4" t="s">
        <v>26</v>
      </c>
      <c r="N4" s="5" t="s">
        <v>34</v>
      </c>
      <c r="O4">
        <v>2</v>
      </c>
      <c r="P4" s="2">
        <v>420</v>
      </c>
      <c r="Q4" s="2">
        <v>769</v>
      </c>
      <c r="R4" s="2">
        <v>698</v>
      </c>
      <c r="S4" s="2">
        <f t="shared" si="1"/>
        <v>840</v>
      </c>
      <c r="T4" s="2">
        <f t="shared" si="2"/>
        <v>1538</v>
      </c>
    </row>
    <row r="5" spans="1:20" x14ac:dyDescent="0.3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tr">
        <f t="shared" si="0"/>
        <v>Australia</v>
      </c>
      <c r="J5" t="s">
        <v>37</v>
      </c>
      <c r="K5" t="s">
        <v>38</v>
      </c>
      <c r="L5" t="s">
        <v>25</v>
      </c>
      <c r="M5" t="s">
        <v>26</v>
      </c>
      <c r="N5" s="5" t="s">
        <v>39</v>
      </c>
      <c r="O5">
        <v>1</v>
      </c>
      <c r="P5" s="2">
        <v>420</v>
      </c>
      <c r="Q5" s="2">
        <v>769</v>
      </c>
      <c r="R5" s="2">
        <v>349</v>
      </c>
      <c r="S5" s="2">
        <f t="shared" si="1"/>
        <v>420</v>
      </c>
      <c r="T5" s="2">
        <f t="shared" si="2"/>
        <v>769</v>
      </c>
    </row>
    <row r="6" spans="1:20" x14ac:dyDescent="0.3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tr">
        <f t="shared" si="0"/>
        <v>United States</v>
      </c>
      <c r="J6" t="str">
        <f>TRIM("United States")</f>
        <v>United States</v>
      </c>
      <c r="K6" t="s">
        <v>24</v>
      </c>
      <c r="L6" t="s">
        <v>25</v>
      </c>
      <c r="M6" t="s">
        <v>26</v>
      </c>
      <c r="N6" s="5" t="s">
        <v>27</v>
      </c>
      <c r="O6">
        <v>2</v>
      </c>
      <c r="P6" s="2">
        <v>1252</v>
      </c>
      <c r="Q6" s="2">
        <v>2295</v>
      </c>
      <c r="R6" s="2">
        <v>2086</v>
      </c>
      <c r="S6" s="2">
        <f t="shared" si="1"/>
        <v>2504</v>
      </c>
      <c r="T6" s="2">
        <f t="shared" si="2"/>
        <v>4590</v>
      </c>
    </row>
    <row r="7" spans="1:20" x14ac:dyDescent="0.3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tr">
        <f t="shared" si="0"/>
        <v>United Kingdom</v>
      </c>
      <c r="J7" t="s">
        <v>30</v>
      </c>
      <c r="K7" t="s">
        <v>31</v>
      </c>
      <c r="L7" t="s">
        <v>25</v>
      </c>
      <c r="M7" t="s">
        <v>26</v>
      </c>
      <c r="N7" s="5" t="s">
        <v>43</v>
      </c>
      <c r="O7">
        <v>1</v>
      </c>
      <c r="P7" s="2">
        <v>1252</v>
      </c>
      <c r="Q7" s="2">
        <v>2295</v>
      </c>
      <c r="R7" s="2">
        <v>1043</v>
      </c>
      <c r="S7" s="2">
        <f t="shared" si="1"/>
        <v>1252</v>
      </c>
      <c r="T7" s="2">
        <f t="shared" si="2"/>
        <v>2295</v>
      </c>
    </row>
    <row r="8" spans="1:20" x14ac:dyDescent="0.3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tr">
        <f t="shared" si="0"/>
        <v>United States</v>
      </c>
      <c r="J8" t="str">
        <f>TRIM("United States")</f>
        <v>United States</v>
      </c>
      <c r="K8" t="s">
        <v>45</v>
      </c>
      <c r="L8" t="s">
        <v>25</v>
      </c>
      <c r="M8" t="s">
        <v>26</v>
      </c>
      <c r="N8" s="5" t="s">
        <v>27</v>
      </c>
      <c r="O8">
        <v>1</v>
      </c>
      <c r="P8" s="2">
        <v>1252</v>
      </c>
      <c r="Q8" s="2">
        <v>2295</v>
      </c>
      <c r="R8" s="2">
        <v>1043</v>
      </c>
      <c r="S8" s="2">
        <f t="shared" si="1"/>
        <v>1252</v>
      </c>
      <c r="T8" s="2">
        <f t="shared" si="2"/>
        <v>2295</v>
      </c>
    </row>
    <row r="9" spans="1:20" x14ac:dyDescent="0.3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tr">
        <f t="shared" si="0"/>
        <v>Australia</v>
      </c>
      <c r="J9" t="s">
        <v>37</v>
      </c>
      <c r="K9" t="s">
        <v>38</v>
      </c>
      <c r="L9" t="s">
        <v>25</v>
      </c>
      <c r="M9" t="s">
        <v>26</v>
      </c>
      <c r="N9" s="5" t="s">
        <v>39</v>
      </c>
      <c r="O9">
        <v>4</v>
      </c>
      <c r="P9" s="2">
        <v>420</v>
      </c>
      <c r="Q9" s="2">
        <v>769</v>
      </c>
      <c r="R9" s="2">
        <v>1396</v>
      </c>
      <c r="S9" s="2">
        <f t="shared" si="1"/>
        <v>1680</v>
      </c>
      <c r="T9" s="2">
        <f t="shared" si="2"/>
        <v>3076</v>
      </c>
    </row>
    <row r="10" spans="1:20" x14ac:dyDescent="0.3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tr">
        <f t="shared" si="0"/>
        <v>United States</v>
      </c>
      <c r="J10" t="str">
        <f>TRIM("United States")</f>
        <v>United States</v>
      </c>
      <c r="K10" t="s">
        <v>24</v>
      </c>
      <c r="L10" t="s">
        <v>25</v>
      </c>
      <c r="M10" t="s">
        <v>26</v>
      </c>
      <c r="N10" s="5" t="s">
        <v>27</v>
      </c>
      <c r="O10">
        <v>4</v>
      </c>
      <c r="P10" s="2">
        <v>1252</v>
      </c>
      <c r="Q10" s="2">
        <v>2295</v>
      </c>
      <c r="R10" s="2">
        <v>4172</v>
      </c>
      <c r="S10" s="2">
        <f t="shared" si="1"/>
        <v>5008</v>
      </c>
      <c r="T10" s="2">
        <f t="shared" si="2"/>
        <v>9180</v>
      </c>
    </row>
    <row r="11" spans="1:20" x14ac:dyDescent="0.3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tr">
        <f t="shared" si="0"/>
        <v>Germany</v>
      </c>
      <c r="J11" t="s">
        <v>49</v>
      </c>
      <c r="K11" t="s">
        <v>50</v>
      </c>
      <c r="L11" t="s">
        <v>25</v>
      </c>
      <c r="M11" t="s">
        <v>26</v>
      </c>
      <c r="N11" s="5" t="s">
        <v>43</v>
      </c>
      <c r="O11">
        <v>4</v>
      </c>
      <c r="P11" s="2">
        <v>1252</v>
      </c>
      <c r="Q11" s="2">
        <v>2295</v>
      </c>
      <c r="R11" s="2">
        <v>4172</v>
      </c>
      <c r="S11" s="2">
        <f t="shared" si="1"/>
        <v>5008</v>
      </c>
      <c r="T11" s="2">
        <f t="shared" si="2"/>
        <v>9180</v>
      </c>
    </row>
    <row r="12" spans="1:20" x14ac:dyDescent="0.3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tr">
        <f t="shared" si="0"/>
        <v>Australia</v>
      </c>
      <c r="J12" t="s">
        <v>37</v>
      </c>
      <c r="K12" t="s">
        <v>52</v>
      </c>
      <c r="L12" t="s">
        <v>25</v>
      </c>
      <c r="M12" t="s">
        <v>26</v>
      </c>
      <c r="N12" s="5" t="s">
        <v>53</v>
      </c>
      <c r="O12">
        <v>1</v>
      </c>
      <c r="P12" s="2">
        <v>1266</v>
      </c>
      <c r="Q12" s="2">
        <v>2320</v>
      </c>
      <c r="R12" s="2">
        <v>1054</v>
      </c>
      <c r="S12" s="2">
        <f t="shared" si="1"/>
        <v>1266</v>
      </c>
      <c r="T12" s="2">
        <f t="shared" si="2"/>
        <v>2320</v>
      </c>
    </row>
    <row r="13" spans="1:20" x14ac:dyDescent="0.3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tr">
        <f t="shared" si="0"/>
        <v>United States</v>
      </c>
      <c r="J13" t="str">
        <f>TRIM("United States")</f>
        <v>United States</v>
      </c>
      <c r="K13" t="s">
        <v>24</v>
      </c>
      <c r="L13" t="s">
        <v>25</v>
      </c>
      <c r="M13" t="s">
        <v>26</v>
      </c>
      <c r="N13" s="5" t="s">
        <v>27</v>
      </c>
      <c r="O13">
        <v>1</v>
      </c>
      <c r="P13" s="2">
        <v>1252</v>
      </c>
      <c r="Q13" s="2">
        <v>2295</v>
      </c>
      <c r="R13" s="2">
        <v>1043</v>
      </c>
      <c r="S13" s="2">
        <f t="shared" si="1"/>
        <v>1252</v>
      </c>
      <c r="T13" s="2">
        <f t="shared" si="2"/>
        <v>2295</v>
      </c>
    </row>
    <row r="14" spans="1:20" x14ac:dyDescent="0.3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tr">
        <f t="shared" si="0"/>
        <v>United Kingdom</v>
      </c>
      <c r="J14" t="s">
        <v>30</v>
      </c>
      <c r="K14" t="s">
        <v>31</v>
      </c>
      <c r="L14" t="s">
        <v>25</v>
      </c>
      <c r="M14" t="s">
        <v>26</v>
      </c>
      <c r="N14" s="5" t="s">
        <v>34</v>
      </c>
      <c r="O14">
        <v>3</v>
      </c>
      <c r="P14" s="2">
        <v>420</v>
      </c>
      <c r="Q14" s="2">
        <v>769</v>
      </c>
      <c r="R14" s="2">
        <v>1047</v>
      </c>
      <c r="S14" s="2">
        <f t="shared" si="1"/>
        <v>1260</v>
      </c>
      <c r="T14" s="2">
        <f t="shared" si="2"/>
        <v>2307</v>
      </c>
    </row>
    <row r="15" spans="1:20" x14ac:dyDescent="0.3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tr">
        <f t="shared" si="0"/>
        <v>Canada</v>
      </c>
      <c r="J15" t="s">
        <v>57</v>
      </c>
      <c r="K15" t="s">
        <v>58</v>
      </c>
      <c r="L15" t="s">
        <v>25</v>
      </c>
      <c r="M15" t="s">
        <v>26</v>
      </c>
      <c r="N15" s="5" t="s">
        <v>27</v>
      </c>
      <c r="O15">
        <v>1</v>
      </c>
      <c r="P15" s="2">
        <v>1252</v>
      </c>
      <c r="Q15" s="2">
        <v>2295</v>
      </c>
      <c r="R15" s="2">
        <v>1043</v>
      </c>
      <c r="S15" s="2">
        <f t="shared" si="1"/>
        <v>1252</v>
      </c>
      <c r="T15" s="2">
        <f t="shared" si="2"/>
        <v>2295</v>
      </c>
    </row>
    <row r="16" spans="1:20" x14ac:dyDescent="0.3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tr">
        <f t="shared" si="0"/>
        <v>Australia</v>
      </c>
      <c r="J16" t="s">
        <v>37</v>
      </c>
      <c r="K16" t="s">
        <v>38</v>
      </c>
      <c r="L16" t="s">
        <v>25</v>
      </c>
      <c r="M16" t="s">
        <v>26</v>
      </c>
      <c r="N16" s="5" t="s">
        <v>60</v>
      </c>
      <c r="O16">
        <v>1</v>
      </c>
      <c r="P16" s="2">
        <v>1252</v>
      </c>
      <c r="Q16" s="2">
        <v>2295</v>
      </c>
      <c r="R16" s="2">
        <v>1043</v>
      </c>
      <c r="S16" s="2">
        <f t="shared" si="1"/>
        <v>1252</v>
      </c>
      <c r="T16" s="2">
        <f t="shared" si="2"/>
        <v>2295</v>
      </c>
    </row>
    <row r="17" spans="1:20" x14ac:dyDescent="0.3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tr">
        <f t="shared" si="0"/>
        <v>United Kingdom</v>
      </c>
      <c r="J17" t="s">
        <v>30</v>
      </c>
      <c r="K17" t="s">
        <v>31</v>
      </c>
      <c r="L17" t="s">
        <v>25</v>
      </c>
      <c r="M17" t="s">
        <v>26</v>
      </c>
      <c r="N17" s="5" t="s">
        <v>53</v>
      </c>
      <c r="O17">
        <v>1</v>
      </c>
      <c r="P17" s="2">
        <v>1266</v>
      </c>
      <c r="Q17" s="2">
        <v>2320</v>
      </c>
      <c r="R17" s="2">
        <v>1054</v>
      </c>
      <c r="S17" s="2">
        <f t="shared" si="1"/>
        <v>1266</v>
      </c>
      <c r="T17" s="2">
        <f t="shared" si="2"/>
        <v>2320</v>
      </c>
    </row>
    <row r="18" spans="1:20" x14ac:dyDescent="0.3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tr">
        <f t="shared" si="0"/>
        <v>United States</v>
      </c>
      <c r="J18" t="str">
        <f t="shared" ref="J18:J19" si="3">TRIM("United States")</f>
        <v>United States</v>
      </c>
      <c r="K18" t="s">
        <v>24</v>
      </c>
      <c r="L18" t="s">
        <v>25</v>
      </c>
      <c r="M18" t="s">
        <v>26</v>
      </c>
      <c r="N18" s="5" t="s">
        <v>63</v>
      </c>
      <c r="O18">
        <v>4</v>
      </c>
      <c r="P18" s="2">
        <v>420</v>
      </c>
      <c r="Q18" s="2">
        <v>769</v>
      </c>
      <c r="R18" s="2">
        <v>1396</v>
      </c>
      <c r="S18" s="2">
        <f t="shared" si="1"/>
        <v>1680</v>
      </c>
      <c r="T18" s="2">
        <f t="shared" si="2"/>
        <v>3076</v>
      </c>
    </row>
    <row r="19" spans="1:20" x14ac:dyDescent="0.3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tr">
        <f t="shared" si="0"/>
        <v>United States</v>
      </c>
      <c r="J19" t="str">
        <f t="shared" si="3"/>
        <v>United States</v>
      </c>
      <c r="K19" t="s">
        <v>24</v>
      </c>
      <c r="L19" t="s">
        <v>25</v>
      </c>
      <c r="M19" t="s">
        <v>26</v>
      </c>
      <c r="N19" s="5" t="s">
        <v>32</v>
      </c>
      <c r="O19">
        <v>2</v>
      </c>
      <c r="P19" s="2">
        <v>1266</v>
      </c>
      <c r="Q19" s="2">
        <v>2320</v>
      </c>
      <c r="R19" s="2">
        <v>2108</v>
      </c>
      <c r="S19" s="2">
        <f t="shared" si="1"/>
        <v>2532</v>
      </c>
      <c r="T19" s="2">
        <f t="shared" si="2"/>
        <v>4640</v>
      </c>
    </row>
    <row r="20" spans="1:20" x14ac:dyDescent="0.3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tr">
        <f t="shared" si="0"/>
        <v>Australia</v>
      </c>
      <c r="J20" t="s">
        <v>37</v>
      </c>
      <c r="K20" t="s">
        <v>38</v>
      </c>
      <c r="L20" t="s">
        <v>25</v>
      </c>
      <c r="M20" t="s">
        <v>26</v>
      </c>
      <c r="N20" s="5" t="s">
        <v>66</v>
      </c>
      <c r="O20">
        <v>4</v>
      </c>
      <c r="P20" s="2">
        <v>308</v>
      </c>
      <c r="Q20" s="2">
        <v>565</v>
      </c>
      <c r="R20" s="2">
        <v>1028</v>
      </c>
      <c r="S20" s="2">
        <f t="shared" si="1"/>
        <v>1232</v>
      </c>
      <c r="T20" s="2">
        <f t="shared" si="2"/>
        <v>2260</v>
      </c>
    </row>
    <row r="21" spans="1:20" x14ac:dyDescent="0.3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tr">
        <f t="shared" si="0"/>
        <v>Canada</v>
      </c>
      <c r="J21" t="s">
        <v>57</v>
      </c>
      <c r="K21" t="s">
        <v>58</v>
      </c>
      <c r="L21" t="s">
        <v>25</v>
      </c>
      <c r="M21" t="s">
        <v>26</v>
      </c>
      <c r="N21" s="5" t="s">
        <v>53</v>
      </c>
      <c r="O21">
        <v>4</v>
      </c>
      <c r="P21" s="2">
        <v>1266</v>
      </c>
      <c r="Q21" s="2">
        <v>2320</v>
      </c>
      <c r="R21" s="2">
        <v>4216</v>
      </c>
      <c r="S21" s="2">
        <f t="shared" si="1"/>
        <v>5064</v>
      </c>
      <c r="T21" s="2">
        <f t="shared" si="2"/>
        <v>9280</v>
      </c>
    </row>
    <row r="22" spans="1:20" x14ac:dyDescent="0.3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tr">
        <f t="shared" si="0"/>
        <v>United States</v>
      </c>
      <c r="J22" t="str">
        <f t="shared" ref="J22:J23" si="4">TRIM("United States")</f>
        <v>United States</v>
      </c>
      <c r="K22" t="s">
        <v>69</v>
      </c>
      <c r="L22" t="s">
        <v>25</v>
      </c>
      <c r="M22" t="s">
        <v>26</v>
      </c>
      <c r="N22" s="5" t="s">
        <v>70</v>
      </c>
      <c r="O22">
        <v>2</v>
      </c>
      <c r="P22" s="2">
        <v>1252</v>
      </c>
      <c r="Q22" s="2">
        <v>2295</v>
      </c>
      <c r="R22" s="2">
        <v>2086</v>
      </c>
      <c r="S22" s="2">
        <f t="shared" si="1"/>
        <v>2504</v>
      </c>
      <c r="T22" s="2">
        <f t="shared" si="2"/>
        <v>4590</v>
      </c>
    </row>
    <row r="23" spans="1:20" x14ac:dyDescent="0.3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tr">
        <f t="shared" si="0"/>
        <v>United States</v>
      </c>
      <c r="J23" t="str">
        <f t="shared" si="4"/>
        <v>United States</v>
      </c>
      <c r="K23" t="s">
        <v>24</v>
      </c>
      <c r="L23" t="s">
        <v>25</v>
      </c>
      <c r="M23" t="s">
        <v>26</v>
      </c>
      <c r="N23" s="5" t="s">
        <v>70</v>
      </c>
      <c r="O23">
        <v>1</v>
      </c>
      <c r="P23" s="2">
        <v>295</v>
      </c>
      <c r="Q23" s="2">
        <v>540</v>
      </c>
      <c r="R23" s="2">
        <v>245</v>
      </c>
      <c r="S23" s="2">
        <f t="shared" si="1"/>
        <v>295</v>
      </c>
      <c r="T23" s="2">
        <f t="shared" si="2"/>
        <v>540</v>
      </c>
    </row>
    <row r="24" spans="1:20" x14ac:dyDescent="0.3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tr">
        <f t="shared" si="0"/>
        <v>Australia</v>
      </c>
      <c r="J24" t="s">
        <v>37</v>
      </c>
      <c r="K24" t="s">
        <v>73</v>
      </c>
      <c r="L24" t="s">
        <v>25</v>
      </c>
      <c r="M24" t="s">
        <v>26</v>
      </c>
      <c r="N24" s="5" t="s">
        <v>74</v>
      </c>
      <c r="O24">
        <v>2</v>
      </c>
      <c r="P24" s="2">
        <v>1898</v>
      </c>
      <c r="Q24" s="2">
        <v>3375</v>
      </c>
      <c r="R24" s="2">
        <v>2954</v>
      </c>
      <c r="S24" s="2">
        <f t="shared" si="1"/>
        <v>3796</v>
      </c>
      <c r="T24" s="2">
        <f t="shared" si="2"/>
        <v>6750</v>
      </c>
    </row>
    <row r="25" spans="1:20" x14ac:dyDescent="0.3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tr">
        <f t="shared" si="0"/>
        <v>Germany</v>
      </c>
      <c r="J25" t="s">
        <v>49</v>
      </c>
      <c r="K25" t="s">
        <v>76</v>
      </c>
      <c r="L25" t="s">
        <v>25</v>
      </c>
      <c r="M25" t="s">
        <v>26</v>
      </c>
      <c r="N25" s="5" t="s">
        <v>32</v>
      </c>
      <c r="O25">
        <v>1</v>
      </c>
      <c r="P25" s="2">
        <v>1266</v>
      </c>
      <c r="Q25" s="2">
        <v>2320</v>
      </c>
      <c r="R25" s="2">
        <v>1054</v>
      </c>
      <c r="S25" s="2">
        <f t="shared" si="1"/>
        <v>1266</v>
      </c>
      <c r="T25" s="2">
        <f t="shared" si="2"/>
        <v>2320</v>
      </c>
    </row>
    <row r="26" spans="1:20" x14ac:dyDescent="0.3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tr">
        <f t="shared" si="0"/>
        <v>United States</v>
      </c>
      <c r="J26" t="str">
        <f>TRIM("United States")</f>
        <v>United States</v>
      </c>
      <c r="K26" t="s">
        <v>24</v>
      </c>
      <c r="L26" t="s">
        <v>25</v>
      </c>
      <c r="M26" t="s">
        <v>26</v>
      </c>
      <c r="N26" s="5" t="s">
        <v>60</v>
      </c>
      <c r="O26">
        <v>2</v>
      </c>
      <c r="P26" s="2">
        <v>1252</v>
      </c>
      <c r="Q26" s="2">
        <v>2295</v>
      </c>
      <c r="R26" s="2">
        <v>2086</v>
      </c>
      <c r="S26" s="2">
        <f t="shared" si="1"/>
        <v>2504</v>
      </c>
      <c r="T26" s="2">
        <f t="shared" si="2"/>
        <v>4590</v>
      </c>
    </row>
    <row r="27" spans="1:20" x14ac:dyDescent="0.3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tr">
        <f t="shared" si="0"/>
        <v>Australia</v>
      </c>
      <c r="J27" t="s">
        <v>37</v>
      </c>
      <c r="K27" t="s">
        <v>38</v>
      </c>
      <c r="L27" t="s">
        <v>25</v>
      </c>
      <c r="M27" t="s">
        <v>26</v>
      </c>
      <c r="N27" s="5" t="s">
        <v>60</v>
      </c>
      <c r="O27">
        <v>2</v>
      </c>
      <c r="P27" s="2">
        <v>1252</v>
      </c>
      <c r="Q27" s="2">
        <v>2295</v>
      </c>
      <c r="R27" s="2">
        <v>2086</v>
      </c>
      <c r="S27" s="2">
        <f t="shared" si="1"/>
        <v>2504</v>
      </c>
      <c r="T27" s="2">
        <f t="shared" si="2"/>
        <v>4590</v>
      </c>
    </row>
    <row r="28" spans="1:20" x14ac:dyDescent="0.3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tr">
        <f t="shared" si="0"/>
        <v>United Kingdom</v>
      </c>
      <c r="J28" t="s">
        <v>30</v>
      </c>
      <c r="K28" t="s">
        <v>31</v>
      </c>
      <c r="L28" t="s">
        <v>25</v>
      </c>
      <c r="M28" t="s">
        <v>26</v>
      </c>
      <c r="N28" s="5" t="s">
        <v>43</v>
      </c>
      <c r="O28">
        <v>1</v>
      </c>
      <c r="P28" s="2">
        <v>1252</v>
      </c>
      <c r="Q28" s="2">
        <v>2295</v>
      </c>
      <c r="R28" s="2">
        <v>1043</v>
      </c>
      <c r="S28" s="2">
        <f t="shared" si="1"/>
        <v>1252</v>
      </c>
      <c r="T28" s="2">
        <f t="shared" si="2"/>
        <v>2295</v>
      </c>
    </row>
    <row r="29" spans="1:20" x14ac:dyDescent="0.3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tr">
        <f t="shared" si="0"/>
        <v>United States</v>
      </c>
      <c r="J29" t="str">
        <f t="shared" ref="J29:J30" si="5">TRIM("United States")</f>
        <v>United States</v>
      </c>
      <c r="K29" t="s">
        <v>24</v>
      </c>
      <c r="L29" t="s">
        <v>25</v>
      </c>
      <c r="M29" t="s">
        <v>26</v>
      </c>
      <c r="N29" s="5" t="s">
        <v>81</v>
      </c>
      <c r="O29">
        <v>1</v>
      </c>
      <c r="P29" s="2">
        <v>295</v>
      </c>
      <c r="Q29" s="2">
        <v>540</v>
      </c>
      <c r="R29" s="2">
        <v>245</v>
      </c>
      <c r="S29" s="2">
        <f t="shared" si="1"/>
        <v>295</v>
      </c>
      <c r="T29" s="2">
        <f t="shared" si="2"/>
        <v>540</v>
      </c>
    </row>
    <row r="30" spans="1:20" x14ac:dyDescent="0.3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tr">
        <f t="shared" si="0"/>
        <v>United States</v>
      </c>
      <c r="J30" t="str">
        <f t="shared" si="5"/>
        <v>United States</v>
      </c>
      <c r="K30" t="s">
        <v>45</v>
      </c>
      <c r="L30" t="s">
        <v>25</v>
      </c>
      <c r="M30" t="s">
        <v>26</v>
      </c>
      <c r="N30" s="5" t="s">
        <v>83</v>
      </c>
      <c r="O30">
        <v>1</v>
      </c>
      <c r="P30" s="2">
        <v>1912</v>
      </c>
      <c r="Q30" s="2">
        <v>3400</v>
      </c>
      <c r="R30" s="2">
        <v>1488</v>
      </c>
      <c r="S30" s="2">
        <f t="shared" si="1"/>
        <v>1912</v>
      </c>
      <c r="T30" s="2">
        <f t="shared" si="2"/>
        <v>3400</v>
      </c>
    </row>
    <row r="31" spans="1:20" x14ac:dyDescent="0.3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tr">
        <f t="shared" si="0"/>
        <v>Australia</v>
      </c>
      <c r="J31" t="s">
        <v>37</v>
      </c>
      <c r="K31" t="s">
        <v>38</v>
      </c>
      <c r="L31" t="s">
        <v>25</v>
      </c>
      <c r="M31" t="s">
        <v>26</v>
      </c>
      <c r="N31" s="5" t="s">
        <v>43</v>
      </c>
      <c r="O31">
        <v>1</v>
      </c>
      <c r="P31" s="2">
        <v>1252</v>
      </c>
      <c r="Q31" s="2">
        <v>2295</v>
      </c>
      <c r="R31" s="2">
        <v>1043</v>
      </c>
      <c r="S31" s="2">
        <f t="shared" si="1"/>
        <v>1252</v>
      </c>
      <c r="T31" s="2">
        <f t="shared" si="2"/>
        <v>2295</v>
      </c>
    </row>
    <row r="32" spans="1:20" x14ac:dyDescent="0.3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tr">
        <f t="shared" si="0"/>
        <v>France</v>
      </c>
      <c r="J32" t="s">
        <v>86</v>
      </c>
      <c r="K32" t="s">
        <v>87</v>
      </c>
      <c r="L32" t="s">
        <v>25</v>
      </c>
      <c r="M32" t="s">
        <v>26</v>
      </c>
      <c r="N32" s="5" t="s">
        <v>43</v>
      </c>
      <c r="O32">
        <v>3</v>
      </c>
      <c r="P32" s="2">
        <v>1252</v>
      </c>
      <c r="Q32" s="2">
        <v>2295</v>
      </c>
      <c r="R32" s="2">
        <v>3129</v>
      </c>
      <c r="S32" s="2">
        <f t="shared" si="1"/>
        <v>3756</v>
      </c>
      <c r="T32" s="2">
        <f t="shared" si="2"/>
        <v>6885</v>
      </c>
    </row>
    <row r="33" spans="1:20" x14ac:dyDescent="0.3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tr">
        <f t="shared" si="0"/>
        <v>Australia</v>
      </c>
      <c r="J33" t="s">
        <v>37</v>
      </c>
      <c r="K33" t="s">
        <v>38</v>
      </c>
      <c r="L33" t="s">
        <v>25</v>
      </c>
      <c r="M33" t="s">
        <v>26</v>
      </c>
      <c r="N33" s="5" t="s">
        <v>63</v>
      </c>
      <c r="O33">
        <v>2</v>
      </c>
      <c r="P33" s="2">
        <v>420</v>
      </c>
      <c r="Q33" s="2">
        <v>769</v>
      </c>
      <c r="R33" s="2">
        <v>698</v>
      </c>
      <c r="S33" s="2">
        <f t="shared" si="1"/>
        <v>840</v>
      </c>
      <c r="T33" s="2">
        <f t="shared" si="2"/>
        <v>1538</v>
      </c>
    </row>
    <row r="34" spans="1:20" x14ac:dyDescent="0.3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tr">
        <f t="shared" si="0"/>
        <v>Canada</v>
      </c>
      <c r="J34" t="s">
        <v>57</v>
      </c>
      <c r="K34" t="s">
        <v>58</v>
      </c>
      <c r="L34" t="s">
        <v>25</v>
      </c>
      <c r="M34" t="s">
        <v>26</v>
      </c>
      <c r="N34" s="5" t="s">
        <v>27</v>
      </c>
      <c r="O34">
        <v>1</v>
      </c>
      <c r="P34" s="2">
        <v>1252</v>
      </c>
      <c r="Q34" s="2">
        <v>2295</v>
      </c>
      <c r="R34" s="2">
        <v>1043</v>
      </c>
      <c r="S34" s="2">
        <f t="shared" si="1"/>
        <v>1252</v>
      </c>
      <c r="T34" s="2">
        <f t="shared" si="2"/>
        <v>2295</v>
      </c>
    </row>
    <row r="35" spans="1:20" x14ac:dyDescent="0.3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tr">
        <f t="shared" si="0"/>
        <v>United States</v>
      </c>
      <c r="J35" t="str">
        <f t="shared" ref="J35:J36" si="6">TRIM("United States")</f>
        <v>United States</v>
      </c>
      <c r="K35" t="s">
        <v>24</v>
      </c>
      <c r="L35" t="s">
        <v>25</v>
      </c>
      <c r="M35" t="s">
        <v>26</v>
      </c>
      <c r="N35" s="5" t="s">
        <v>34</v>
      </c>
      <c r="O35">
        <v>1</v>
      </c>
      <c r="P35" s="2">
        <v>420</v>
      </c>
      <c r="Q35" s="2">
        <v>769</v>
      </c>
      <c r="R35" s="2">
        <v>349</v>
      </c>
      <c r="S35" s="2">
        <f t="shared" si="1"/>
        <v>420</v>
      </c>
      <c r="T35" s="2">
        <f t="shared" si="2"/>
        <v>769</v>
      </c>
    </row>
    <row r="36" spans="1:20" x14ac:dyDescent="0.3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tr">
        <f t="shared" si="0"/>
        <v>United States</v>
      </c>
      <c r="J36" t="str">
        <f t="shared" si="6"/>
        <v>United States</v>
      </c>
      <c r="K36" t="s">
        <v>24</v>
      </c>
      <c r="L36" t="s">
        <v>25</v>
      </c>
      <c r="M36" t="s">
        <v>26</v>
      </c>
      <c r="N36" s="5" t="s">
        <v>53</v>
      </c>
      <c r="O36">
        <v>1</v>
      </c>
      <c r="P36" s="2">
        <v>1266</v>
      </c>
      <c r="Q36" s="2">
        <v>2320</v>
      </c>
      <c r="R36" s="2">
        <v>1054</v>
      </c>
      <c r="S36" s="2">
        <f t="shared" si="1"/>
        <v>1266</v>
      </c>
      <c r="T36" s="2">
        <f t="shared" si="2"/>
        <v>2320</v>
      </c>
    </row>
    <row r="37" spans="1:20" x14ac:dyDescent="0.3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tr">
        <f t="shared" si="0"/>
        <v>Australia</v>
      </c>
      <c r="J37" t="s">
        <v>37</v>
      </c>
      <c r="K37" t="s">
        <v>38</v>
      </c>
      <c r="L37" t="s">
        <v>25</v>
      </c>
      <c r="M37" t="s">
        <v>26</v>
      </c>
      <c r="N37" s="5" t="s">
        <v>32</v>
      </c>
      <c r="O37">
        <v>4</v>
      </c>
      <c r="P37" s="2">
        <v>1266</v>
      </c>
      <c r="Q37" s="2">
        <v>2320</v>
      </c>
      <c r="R37" s="2">
        <v>4216</v>
      </c>
      <c r="S37" s="2">
        <f t="shared" si="1"/>
        <v>5064</v>
      </c>
      <c r="T37" s="2">
        <f t="shared" si="2"/>
        <v>9280</v>
      </c>
    </row>
    <row r="38" spans="1:20" x14ac:dyDescent="0.3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tr">
        <f t="shared" si="0"/>
        <v>United States</v>
      </c>
      <c r="J38" t="str">
        <f>TRIM("United States")</f>
        <v>United States</v>
      </c>
      <c r="K38" t="s">
        <v>24</v>
      </c>
      <c r="L38" t="s">
        <v>25</v>
      </c>
      <c r="M38" t="s">
        <v>26</v>
      </c>
      <c r="N38" s="5" t="s">
        <v>34</v>
      </c>
      <c r="O38">
        <v>4</v>
      </c>
      <c r="P38" s="2">
        <v>420</v>
      </c>
      <c r="Q38" s="2">
        <v>769</v>
      </c>
      <c r="R38" s="2">
        <v>1396</v>
      </c>
      <c r="S38" s="2">
        <f t="shared" si="1"/>
        <v>1680</v>
      </c>
      <c r="T38" s="2">
        <f t="shared" si="2"/>
        <v>3076</v>
      </c>
    </row>
    <row r="39" spans="1:20" x14ac:dyDescent="0.3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tr">
        <f t="shared" si="0"/>
        <v>Australia</v>
      </c>
      <c r="J39" t="s">
        <v>37</v>
      </c>
      <c r="K39" t="s">
        <v>38</v>
      </c>
      <c r="L39" t="s">
        <v>25</v>
      </c>
      <c r="M39" t="s">
        <v>26</v>
      </c>
      <c r="N39" s="5" t="s">
        <v>43</v>
      </c>
      <c r="O39">
        <v>2</v>
      </c>
      <c r="P39" s="2">
        <v>1252</v>
      </c>
      <c r="Q39" s="2">
        <v>2295</v>
      </c>
      <c r="R39" s="2">
        <v>2086</v>
      </c>
      <c r="S39" s="2">
        <f t="shared" si="1"/>
        <v>2504</v>
      </c>
      <c r="T39" s="2">
        <f t="shared" si="2"/>
        <v>4590</v>
      </c>
    </row>
    <row r="40" spans="1:20" x14ac:dyDescent="0.3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tr">
        <f t="shared" si="0"/>
        <v>Australia</v>
      </c>
      <c r="J40" t="s">
        <v>37</v>
      </c>
      <c r="K40" t="s">
        <v>73</v>
      </c>
      <c r="L40" t="s">
        <v>25</v>
      </c>
      <c r="M40" t="s">
        <v>26</v>
      </c>
      <c r="N40" s="5" t="s">
        <v>32</v>
      </c>
      <c r="O40">
        <v>1</v>
      </c>
      <c r="P40" s="2">
        <v>1266</v>
      </c>
      <c r="Q40" s="2">
        <v>2320</v>
      </c>
      <c r="R40" s="2">
        <v>1054</v>
      </c>
      <c r="S40" s="2">
        <f t="shared" si="1"/>
        <v>1266</v>
      </c>
      <c r="T40" s="2">
        <f t="shared" si="2"/>
        <v>2320</v>
      </c>
    </row>
    <row r="41" spans="1:20" x14ac:dyDescent="0.3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tr">
        <f t="shared" si="0"/>
        <v>United States</v>
      </c>
      <c r="J41" t="str">
        <f>TRIM("United States")</f>
        <v>United States</v>
      </c>
      <c r="K41" t="s">
        <v>45</v>
      </c>
      <c r="L41" t="s">
        <v>25</v>
      </c>
      <c r="M41" t="s">
        <v>26</v>
      </c>
      <c r="N41" s="5" t="s">
        <v>32</v>
      </c>
      <c r="O41">
        <v>1</v>
      </c>
      <c r="P41" s="2">
        <v>1266</v>
      </c>
      <c r="Q41" s="2">
        <v>2320</v>
      </c>
      <c r="R41" s="2">
        <v>1054</v>
      </c>
      <c r="S41" s="2">
        <f t="shared" si="1"/>
        <v>1266</v>
      </c>
      <c r="T41" s="2">
        <f t="shared" si="2"/>
        <v>2320</v>
      </c>
    </row>
    <row r="42" spans="1:20" x14ac:dyDescent="0.3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tr">
        <f t="shared" si="0"/>
        <v>Australia</v>
      </c>
      <c r="J42" t="s">
        <v>37</v>
      </c>
      <c r="K42" t="s">
        <v>52</v>
      </c>
      <c r="L42" t="s">
        <v>25</v>
      </c>
      <c r="M42" t="s">
        <v>26</v>
      </c>
      <c r="N42" s="5" t="s">
        <v>32</v>
      </c>
      <c r="O42">
        <v>3</v>
      </c>
      <c r="P42" s="2">
        <v>1266</v>
      </c>
      <c r="Q42" s="2">
        <v>2320</v>
      </c>
      <c r="R42" s="2">
        <v>3162</v>
      </c>
      <c r="S42" s="2">
        <f t="shared" si="1"/>
        <v>3798</v>
      </c>
      <c r="T42" s="2">
        <f t="shared" si="2"/>
        <v>6960</v>
      </c>
    </row>
    <row r="43" spans="1:20" x14ac:dyDescent="0.3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tr">
        <f t="shared" si="0"/>
        <v>United States</v>
      </c>
      <c r="J43" t="str">
        <f>TRIM("United States")</f>
        <v>United States</v>
      </c>
      <c r="K43" t="s">
        <v>24</v>
      </c>
      <c r="L43" t="s">
        <v>25</v>
      </c>
      <c r="M43" t="s">
        <v>26</v>
      </c>
      <c r="N43" s="5" t="s">
        <v>99</v>
      </c>
      <c r="O43">
        <v>1</v>
      </c>
      <c r="P43" s="2">
        <v>308</v>
      </c>
      <c r="Q43" s="2">
        <v>565</v>
      </c>
      <c r="R43" s="2">
        <v>257</v>
      </c>
      <c r="S43" s="2">
        <f t="shared" si="1"/>
        <v>308</v>
      </c>
      <c r="T43" s="2">
        <f t="shared" si="2"/>
        <v>565</v>
      </c>
    </row>
    <row r="44" spans="1:20" x14ac:dyDescent="0.3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tr">
        <f t="shared" si="0"/>
        <v>United Kingdom</v>
      </c>
      <c r="J44" t="s">
        <v>30</v>
      </c>
      <c r="K44" t="s">
        <v>31</v>
      </c>
      <c r="L44" t="s">
        <v>25</v>
      </c>
      <c r="M44" t="s">
        <v>26</v>
      </c>
      <c r="N44" s="5" t="s">
        <v>43</v>
      </c>
      <c r="O44">
        <v>1</v>
      </c>
      <c r="P44" s="2">
        <v>1252</v>
      </c>
      <c r="Q44" s="2">
        <v>2295</v>
      </c>
      <c r="R44" s="2">
        <v>1043</v>
      </c>
      <c r="S44" s="2">
        <f t="shared" si="1"/>
        <v>1252</v>
      </c>
      <c r="T44" s="2">
        <f t="shared" si="2"/>
        <v>2295</v>
      </c>
    </row>
    <row r="45" spans="1:20" x14ac:dyDescent="0.3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tr">
        <f t="shared" si="0"/>
        <v>United Kingdom</v>
      </c>
      <c r="J45" t="s">
        <v>30</v>
      </c>
      <c r="K45" t="s">
        <v>31</v>
      </c>
      <c r="L45" t="s">
        <v>25</v>
      </c>
      <c r="M45" t="s">
        <v>26</v>
      </c>
      <c r="N45" s="5" t="s">
        <v>43</v>
      </c>
      <c r="O45">
        <v>1</v>
      </c>
      <c r="P45" s="2">
        <v>1252</v>
      </c>
      <c r="Q45" s="2">
        <v>2295</v>
      </c>
      <c r="R45" s="2">
        <v>1043</v>
      </c>
      <c r="S45" s="2">
        <f t="shared" si="1"/>
        <v>1252</v>
      </c>
      <c r="T45" s="2">
        <f t="shared" si="2"/>
        <v>2295</v>
      </c>
    </row>
    <row r="46" spans="1:20" x14ac:dyDescent="0.3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tr">
        <f t="shared" si="0"/>
        <v>United States</v>
      </c>
      <c r="J46" t="str">
        <f t="shared" ref="J46:J47" si="7">TRIM("United States")</f>
        <v>United States</v>
      </c>
      <c r="K46" t="s">
        <v>45</v>
      </c>
      <c r="L46" t="s">
        <v>25</v>
      </c>
      <c r="M46" t="s">
        <v>26</v>
      </c>
      <c r="N46" s="5" t="s">
        <v>53</v>
      </c>
      <c r="O46">
        <v>2</v>
      </c>
      <c r="P46" s="2">
        <v>1266</v>
      </c>
      <c r="Q46" s="2">
        <v>2320</v>
      </c>
      <c r="R46" s="2">
        <v>2108</v>
      </c>
      <c r="S46" s="2">
        <f t="shared" si="1"/>
        <v>2532</v>
      </c>
      <c r="T46" s="2">
        <f t="shared" si="2"/>
        <v>4640</v>
      </c>
    </row>
    <row r="47" spans="1:20" x14ac:dyDescent="0.3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tr">
        <f t="shared" si="0"/>
        <v>United States</v>
      </c>
      <c r="J47" t="str">
        <f t="shared" si="7"/>
        <v>United States</v>
      </c>
      <c r="K47" t="s">
        <v>24</v>
      </c>
      <c r="L47" t="s">
        <v>25</v>
      </c>
      <c r="M47" t="s">
        <v>26</v>
      </c>
      <c r="N47" s="5" t="s">
        <v>27</v>
      </c>
      <c r="O47">
        <v>1</v>
      </c>
      <c r="P47" s="2">
        <v>1252</v>
      </c>
      <c r="Q47" s="2">
        <v>2295</v>
      </c>
      <c r="R47" s="2">
        <v>1043</v>
      </c>
      <c r="S47" s="2">
        <f t="shared" si="1"/>
        <v>1252</v>
      </c>
      <c r="T47" s="2">
        <f t="shared" si="2"/>
        <v>2295</v>
      </c>
    </row>
    <row r="48" spans="1:20" x14ac:dyDescent="0.3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tr">
        <f t="shared" si="0"/>
        <v>Australia</v>
      </c>
      <c r="J48" t="s">
        <v>37</v>
      </c>
      <c r="K48" t="s">
        <v>73</v>
      </c>
      <c r="L48" t="s">
        <v>25</v>
      </c>
      <c r="M48" t="s">
        <v>26</v>
      </c>
      <c r="N48" s="5" t="s">
        <v>34</v>
      </c>
      <c r="O48">
        <v>1</v>
      </c>
      <c r="P48" s="2">
        <v>420</v>
      </c>
      <c r="Q48" s="2">
        <v>769</v>
      </c>
      <c r="R48" s="2">
        <v>349</v>
      </c>
      <c r="S48" s="2">
        <f t="shared" si="1"/>
        <v>420</v>
      </c>
      <c r="T48" s="2">
        <f t="shared" si="2"/>
        <v>769</v>
      </c>
    </row>
    <row r="49" spans="1:20" x14ac:dyDescent="0.3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tr">
        <f t="shared" si="0"/>
        <v>United States</v>
      </c>
      <c r="J49" t="str">
        <f>TRIM("United States")</f>
        <v>United States</v>
      </c>
      <c r="K49" t="s">
        <v>24</v>
      </c>
      <c r="L49" t="s">
        <v>25</v>
      </c>
      <c r="M49" t="s">
        <v>26</v>
      </c>
      <c r="N49" s="5" t="s">
        <v>32</v>
      </c>
      <c r="O49">
        <v>1</v>
      </c>
      <c r="P49" s="2">
        <v>1266</v>
      </c>
      <c r="Q49" s="2">
        <v>2320</v>
      </c>
      <c r="R49" s="2">
        <v>1054</v>
      </c>
      <c r="S49" s="2">
        <f t="shared" si="1"/>
        <v>1266</v>
      </c>
      <c r="T49" s="2">
        <f t="shared" si="2"/>
        <v>2320</v>
      </c>
    </row>
    <row r="50" spans="1:20" x14ac:dyDescent="0.3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tr">
        <f t="shared" si="0"/>
        <v>Australia</v>
      </c>
      <c r="J50" t="s">
        <v>37</v>
      </c>
      <c r="K50" t="s">
        <v>38</v>
      </c>
      <c r="L50" t="s">
        <v>25</v>
      </c>
      <c r="M50" t="s">
        <v>26</v>
      </c>
      <c r="N50" s="5" t="s">
        <v>43</v>
      </c>
      <c r="O50">
        <v>2</v>
      </c>
      <c r="P50" s="2">
        <v>1252</v>
      </c>
      <c r="Q50" s="2">
        <v>2295</v>
      </c>
      <c r="R50" s="2">
        <v>2086</v>
      </c>
      <c r="S50" s="2">
        <f t="shared" si="1"/>
        <v>2504</v>
      </c>
      <c r="T50" s="2">
        <f t="shared" si="2"/>
        <v>4590</v>
      </c>
    </row>
    <row r="51" spans="1:20" x14ac:dyDescent="0.3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tr">
        <f t="shared" si="0"/>
        <v>Australia</v>
      </c>
      <c r="J51" t="s">
        <v>37</v>
      </c>
      <c r="K51" t="s">
        <v>38</v>
      </c>
      <c r="L51" t="s">
        <v>25</v>
      </c>
      <c r="M51" t="s">
        <v>26</v>
      </c>
      <c r="N51" s="5" t="s">
        <v>43</v>
      </c>
      <c r="O51">
        <v>2</v>
      </c>
      <c r="P51" s="2">
        <v>1252</v>
      </c>
      <c r="Q51" s="2">
        <v>2295</v>
      </c>
      <c r="R51" s="2">
        <v>2086</v>
      </c>
      <c r="S51" s="2">
        <f t="shared" si="1"/>
        <v>2504</v>
      </c>
      <c r="T51" s="2">
        <f t="shared" si="2"/>
        <v>4590</v>
      </c>
    </row>
    <row r="52" spans="1:20" x14ac:dyDescent="0.3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tr">
        <f t="shared" si="0"/>
        <v>France</v>
      </c>
      <c r="J52" t="s">
        <v>86</v>
      </c>
      <c r="K52" t="s">
        <v>109</v>
      </c>
      <c r="L52" t="s">
        <v>25</v>
      </c>
      <c r="M52" t="s">
        <v>26</v>
      </c>
      <c r="N52" s="5" t="s">
        <v>110</v>
      </c>
      <c r="O52">
        <v>1</v>
      </c>
      <c r="P52" s="2">
        <v>1266</v>
      </c>
      <c r="Q52" s="2">
        <v>2320</v>
      </c>
      <c r="R52" s="2">
        <v>1054</v>
      </c>
      <c r="S52" s="2">
        <f t="shared" si="1"/>
        <v>1266</v>
      </c>
      <c r="T52" s="2">
        <f t="shared" si="2"/>
        <v>2320</v>
      </c>
    </row>
    <row r="53" spans="1:20" x14ac:dyDescent="0.3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tr">
        <f t="shared" si="0"/>
        <v>United States</v>
      </c>
      <c r="J53" t="str">
        <f>TRIM("United States")</f>
        <v>United States</v>
      </c>
      <c r="K53" t="s">
        <v>45</v>
      </c>
      <c r="L53" t="s">
        <v>25</v>
      </c>
      <c r="M53" t="s">
        <v>26</v>
      </c>
      <c r="N53" s="5" t="s">
        <v>53</v>
      </c>
      <c r="O53">
        <v>2</v>
      </c>
      <c r="P53" s="2">
        <v>1266</v>
      </c>
      <c r="Q53" s="2">
        <v>2320</v>
      </c>
      <c r="R53" s="2">
        <v>2108</v>
      </c>
      <c r="S53" s="2">
        <f t="shared" si="1"/>
        <v>2532</v>
      </c>
      <c r="T53" s="2">
        <f t="shared" si="2"/>
        <v>4640</v>
      </c>
    </row>
    <row r="54" spans="1:20" x14ac:dyDescent="0.3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tr">
        <f t="shared" si="0"/>
        <v>Australia</v>
      </c>
      <c r="J54" t="s">
        <v>37</v>
      </c>
      <c r="K54" t="s">
        <v>38</v>
      </c>
      <c r="L54" t="s">
        <v>25</v>
      </c>
      <c r="M54" t="s">
        <v>26</v>
      </c>
      <c r="N54" s="5" t="s">
        <v>39</v>
      </c>
      <c r="O54">
        <v>1</v>
      </c>
      <c r="P54" s="2">
        <v>420</v>
      </c>
      <c r="Q54" s="2">
        <v>769</v>
      </c>
      <c r="R54" s="2">
        <v>349</v>
      </c>
      <c r="S54" s="2">
        <f t="shared" si="1"/>
        <v>420</v>
      </c>
      <c r="T54" s="2">
        <f t="shared" si="2"/>
        <v>769</v>
      </c>
    </row>
    <row r="55" spans="1:20" x14ac:dyDescent="0.3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tr">
        <f t="shared" si="0"/>
        <v>Germany</v>
      </c>
      <c r="J55" t="s">
        <v>49</v>
      </c>
      <c r="K55" t="s">
        <v>50</v>
      </c>
      <c r="L55" t="s">
        <v>25</v>
      </c>
      <c r="M55" t="s">
        <v>26</v>
      </c>
      <c r="N55" s="5" t="s">
        <v>110</v>
      </c>
      <c r="O55">
        <v>1</v>
      </c>
      <c r="P55" s="2">
        <v>1266</v>
      </c>
      <c r="Q55" s="2">
        <v>2320</v>
      </c>
      <c r="R55" s="2">
        <v>1054</v>
      </c>
      <c r="S55" s="2">
        <f t="shared" si="1"/>
        <v>1266</v>
      </c>
      <c r="T55" s="2">
        <f t="shared" si="2"/>
        <v>2320</v>
      </c>
    </row>
    <row r="56" spans="1:20" x14ac:dyDescent="0.3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tr">
        <f t="shared" si="0"/>
        <v>Australia</v>
      </c>
      <c r="J56" t="s">
        <v>37</v>
      </c>
      <c r="K56" t="s">
        <v>38</v>
      </c>
      <c r="L56" t="s">
        <v>25</v>
      </c>
      <c r="M56" t="s">
        <v>26</v>
      </c>
      <c r="N56" s="5" t="s">
        <v>66</v>
      </c>
      <c r="O56">
        <v>4</v>
      </c>
      <c r="P56" s="2">
        <v>308</v>
      </c>
      <c r="Q56" s="2">
        <v>565</v>
      </c>
      <c r="R56" s="2">
        <v>1028</v>
      </c>
      <c r="S56" s="2">
        <f t="shared" si="1"/>
        <v>1232</v>
      </c>
      <c r="T56" s="2">
        <f t="shared" si="2"/>
        <v>2260</v>
      </c>
    </row>
    <row r="57" spans="1:20" x14ac:dyDescent="0.3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tr">
        <f t="shared" si="0"/>
        <v>Germany</v>
      </c>
      <c r="J57" t="s">
        <v>49</v>
      </c>
      <c r="K57" t="s">
        <v>50</v>
      </c>
      <c r="L57" t="s">
        <v>25</v>
      </c>
      <c r="M57" t="s">
        <v>26</v>
      </c>
      <c r="N57" s="5" t="s">
        <v>110</v>
      </c>
      <c r="O57">
        <v>4</v>
      </c>
      <c r="P57" s="2">
        <v>1266</v>
      </c>
      <c r="Q57" s="2">
        <v>2320</v>
      </c>
      <c r="R57" s="2">
        <v>4216</v>
      </c>
      <c r="S57" s="2">
        <f t="shared" si="1"/>
        <v>5064</v>
      </c>
      <c r="T57" s="2">
        <f t="shared" si="2"/>
        <v>9280</v>
      </c>
    </row>
    <row r="58" spans="1:20" x14ac:dyDescent="0.3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tr">
        <f t="shared" si="0"/>
        <v>France</v>
      </c>
      <c r="J58" t="s">
        <v>86</v>
      </c>
      <c r="K58" t="s">
        <v>117</v>
      </c>
      <c r="L58" t="s">
        <v>25</v>
      </c>
      <c r="M58" t="s">
        <v>26</v>
      </c>
      <c r="N58" s="5" t="s">
        <v>53</v>
      </c>
      <c r="O58">
        <v>3</v>
      </c>
      <c r="P58" s="2">
        <v>1266</v>
      </c>
      <c r="Q58" s="2">
        <v>2320</v>
      </c>
      <c r="R58" s="2">
        <v>3162</v>
      </c>
      <c r="S58" s="2">
        <f t="shared" si="1"/>
        <v>3798</v>
      </c>
      <c r="T58" s="2">
        <f t="shared" si="2"/>
        <v>6960</v>
      </c>
    </row>
    <row r="59" spans="1:20" x14ac:dyDescent="0.3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tr">
        <f t="shared" si="0"/>
        <v>United Kingdom</v>
      </c>
      <c r="J59" t="s">
        <v>30</v>
      </c>
      <c r="K59" t="s">
        <v>31</v>
      </c>
      <c r="L59" t="s">
        <v>25</v>
      </c>
      <c r="M59" t="s">
        <v>26</v>
      </c>
      <c r="N59" s="5" t="s">
        <v>39</v>
      </c>
      <c r="O59">
        <v>3</v>
      </c>
      <c r="P59" s="2">
        <v>420</v>
      </c>
      <c r="Q59" s="2">
        <v>769</v>
      </c>
      <c r="R59" s="2">
        <v>1047</v>
      </c>
      <c r="S59" s="2">
        <f t="shared" si="1"/>
        <v>1260</v>
      </c>
      <c r="T59" s="2">
        <f t="shared" si="2"/>
        <v>2307</v>
      </c>
    </row>
    <row r="60" spans="1:20" x14ac:dyDescent="0.3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tr">
        <f t="shared" si="0"/>
        <v>United States</v>
      </c>
      <c r="J60" t="str">
        <f>TRIM("United States")</f>
        <v>United States</v>
      </c>
      <c r="K60" t="s">
        <v>24</v>
      </c>
      <c r="L60" t="s">
        <v>25</v>
      </c>
      <c r="M60" t="s">
        <v>26</v>
      </c>
      <c r="N60" s="5" t="s">
        <v>60</v>
      </c>
      <c r="O60">
        <v>3</v>
      </c>
      <c r="P60" s="2">
        <v>1252</v>
      </c>
      <c r="Q60" s="2">
        <v>2295</v>
      </c>
      <c r="R60" s="2">
        <v>3129</v>
      </c>
      <c r="S60" s="2">
        <f t="shared" si="1"/>
        <v>3756</v>
      </c>
      <c r="T60" s="2">
        <f t="shared" si="2"/>
        <v>6885</v>
      </c>
    </row>
    <row r="61" spans="1:20" x14ac:dyDescent="0.3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tr">
        <f t="shared" si="0"/>
        <v>France</v>
      </c>
      <c r="J61" t="s">
        <v>86</v>
      </c>
      <c r="K61" t="s">
        <v>87</v>
      </c>
      <c r="L61" t="s">
        <v>25</v>
      </c>
      <c r="M61" t="s">
        <v>26</v>
      </c>
      <c r="N61" s="5" t="s">
        <v>27</v>
      </c>
      <c r="O61">
        <v>1</v>
      </c>
      <c r="P61" s="2">
        <v>1252</v>
      </c>
      <c r="Q61" s="2">
        <v>2295</v>
      </c>
      <c r="R61" s="2">
        <v>1043</v>
      </c>
      <c r="S61" s="2">
        <f t="shared" si="1"/>
        <v>1252</v>
      </c>
      <c r="T61" s="2">
        <f t="shared" si="2"/>
        <v>2295</v>
      </c>
    </row>
    <row r="62" spans="1:20" x14ac:dyDescent="0.3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tr">
        <f t="shared" si="0"/>
        <v>United States</v>
      </c>
      <c r="J62" t="str">
        <f>TRIM("United States")</f>
        <v>United States</v>
      </c>
      <c r="K62" t="s">
        <v>45</v>
      </c>
      <c r="L62" t="s">
        <v>25</v>
      </c>
      <c r="M62" t="s">
        <v>26</v>
      </c>
      <c r="N62" s="5" t="s">
        <v>53</v>
      </c>
      <c r="O62">
        <v>1</v>
      </c>
      <c r="P62" s="2">
        <v>1266</v>
      </c>
      <c r="Q62" s="2">
        <v>2320</v>
      </c>
      <c r="R62" s="2">
        <v>1054</v>
      </c>
      <c r="S62" s="2">
        <f t="shared" si="1"/>
        <v>1266</v>
      </c>
      <c r="T62" s="2">
        <f t="shared" si="2"/>
        <v>2320</v>
      </c>
    </row>
    <row r="63" spans="1:20" x14ac:dyDescent="0.3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tr">
        <f t="shared" si="0"/>
        <v>France</v>
      </c>
      <c r="J63" t="s">
        <v>86</v>
      </c>
      <c r="K63" t="s">
        <v>123</v>
      </c>
      <c r="L63" t="s">
        <v>25</v>
      </c>
      <c r="M63" t="s">
        <v>26</v>
      </c>
      <c r="N63" s="5" t="s">
        <v>110</v>
      </c>
      <c r="O63">
        <v>4</v>
      </c>
      <c r="P63" s="2">
        <v>1266</v>
      </c>
      <c r="Q63" s="2">
        <v>2320</v>
      </c>
      <c r="R63" s="2">
        <v>4216</v>
      </c>
      <c r="S63" s="2">
        <f t="shared" si="1"/>
        <v>5064</v>
      </c>
      <c r="T63" s="2">
        <f t="shared" si="2"/>
        <v>9280</v>
      </c>
    </row>
    <row r="64" spans="1:20" x14ac:dyDescent="0.3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tr">
        <f t="shared" si="0"/>
        <v>Australia</v>
      </c>
      <c r="J64" t="s">
        <v>37</v>
      </c>
      <c r="K64" t="s">
        <v>73</v>
      </c>
      <c r="L64" t="s">
        <v>25</v>
      </c>
      <c r="M64" t="s">
        <v>26</v>
      </c>
      <c r="N64" s="5" t="s">
        <v>125</v>
      </c>
      <c r="O64">
        <v>4</v>
      </c>
      <c r="P64" s="2">
        <v>295</v>
      </c>
      <c r="Q64" s="2">
        <v>540</v>
      </c>
      <c r="R64" s="2">
        <v>980</v>
      </c>
      <c r="S64" s="2">
        <f t="shared" si="1"/>
        <v>1180</v>
      </c>
      <c r="T64" s="2">
        <f t="shared" si="2"/>
        <v>2160</v>
      </c>
    </row>
    <row r="65" spans="1:20" x14ac:dyDescent="0.3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tr">
        <f t="shared" si="0"/>
        <v>France</v>
      </c>
      <c r="J65" t="s">
        <v>86</v>
      </c>
      <c r="K65" t="s">
        <v>87</v>
      </c>
      <c r="L65" t="s">
        <v>25</v>
      </c>
      <c r="M65" t="s">
        <v>26</v>
      </c>
      <c r="N65" s="5" t="s">
        <v>43</v>
      </c>
      <c r="O65">
        <v>4</v>
      </c>
      <c r="P65" s="2">
        <v>1252</v>
      </c>
      <c r="Q65" s="2">
        <v>2295</v>
      </c>
      <c r="R65" s="2">
        <v>4172</v>
      </c>
      <c r="S65" s="2">
        <f t="shared" si="1"/>
        <v>5008</v>
      </c>
      <c r="T65" s="2">
        <f t="shared" si="2"/>
        <v>9180</v>
      </c>
    </row>
    <row r="66" spans="1:20" x14ac:dyDescent="0.3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tr">
        <f t="shared" si="0"/>
        <v>United States</v>
      </c>
      <c r="J66" t="str">
        <f t="shared" ref="J66:J68" si="8">TRIM("United States")</f>
        <v>United States</v>
      </c>
      <c r="K66" t="s">
        <v>69</v>
      </c>
      <c r="L66" t="s">
        <v>25</v>
      </c>
      <c r="M66" t="s">
        <v>26</v>
      </c>
      <c r="N66" s="5" t="s">
        <v>128</v>
      </c>
      <c r="O66">
        <v>4</v>
      </c>
      <c r="P66" s="2">
        <v>1898</v>
      </c>
      <c r="Q66" s="2">
        <v>3375</v>
      </c>
      <c r="R66" s="2">
        <v>5908</v>
      </c>
      <c r="S66" s="2">
        <f t="shared" si="1"/>
        <v>7592</v>
      </c>
      <c r="T66" s="2">
        <f t="shared" si="2"/>
        <v>13500</v>
      </c>
    </row>
    <row r="67" spans="1:20" x14ac:dyDescent="0.3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tr">
        <f t="shared" ref="I67:I89" si="9">TRIM(J67)</f>
        <v>United States</v>
      </c>
      <c r="J67" t="str">
        <f t="shared" si="8"/>
        <v>United States</v>
      </c>
      <c r="K67" t="s">
        <v>69</v>
      </c>
      <c r="L67" t="s">
        <v>25</v>
      </c>
      <c r="M67" t="s">
        <v>26</v>
      </c>
      <c r="N67" s="5" t="s">
        <v>43</v>
      </c>
      <c r="O67">
        <v>4</v>
      </c>
      <c r="P67" s="2">
        <v>1252</v>
      </c>
      <c r="Q67" s="2">
        <v>2295</v>
      </c>
      <c r="R67" s="2">
        <v>4172</v>
      </c>
      <c r="S67" s="2">
        <f t="shared" ref="S67:S89" si="10">O67*P67</f>
        <v>5008</v>
      </c>
      <c r="T67" s="2">
        <f t="shared" ref="T67:T89" si="11">O67*Q67</f>
        <v>9180</v>
      </c>
    </row>
    <row r="68" spans="1:20" x14ac:dyDescent="0.3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tr">
        <f t="shared" si="9"/>
        <v>United States</v>
      </c>
      <c r="J68" t="str">
        <f t="shared" si="8"/>
        <v>United States</v>
      </c>
      <c r="K68" t="s">
        <v>24</v>
      </c>
      <c r="L68" t="s">
        <v>25</v>
      </c>
      <c r="M68" t="s">
        <v>26</v>
      </c>
      <c r="N68" s="5" t="s">
        <v>27</v>
      </c>
      <c r="O68">
        <v>4</v>
      </c>
      <c r="P68" s="2">
        <v>1252</v>
      </c>
      <c r="Q68" s="2">
        <v>2295</v>
      </c>
      <c r="R68" s="2">
        <v>4172</v>
      </c>
      <c r="S68" s="2">
        <f t="shared" si="10"/>
        <v>5008</v>
      </c>
      <c r="T68" s="2">
        <f t="shared" si="11"/>
        <v>9180</v>
      </c>
    </row>
    <row r="69" spans="1:20" x14ac:dyDescent="0.3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tr">
        <f t="shared" si="9"/>
        <v>Australia</v>
      </c>
      <c r="J69" t="s">
        <v>37</v>
      </c>
      <c r="K69" t="s">
        <v>52</v>
      </c>
      <c r="L69" t="s">
        <v>25</v>
      </c>
      <c r="M69" t="s">
        <v>26</v>
      </c>
      <c r="N69" s="5" t="s">
        <v>27</v>
      </c>
      <c r="O69">
        <v>4</v>
      </c>
      <c r="P69" s="2">
        <v>1252</v>
      </c>
      <c r="Q69" s="2">
        <v>2295</v>
      </c>
      <c r="R69" s="2">
        <v>4172</v>
      </c>
      <c r="S69" s="2">
        <f t="shared" si="10"/>
        <v>5008</v>
      </c>
      <c r="T69" s="2">
        <f t="shared" si="11"/>
        <v>9180</v>
      </c>
    </row>
    <row r="70" spans="1:20" x14ac:dyDescent="0.3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tr">
        <f t="shared" si="9"/>
        <v>Australia</v>
      </c>
      <c r="J70" t="s">
        <v>37</v>
      </c>
      <c r="K70" t="s">
        <v>133</v>
      </c>
      <c r="L70" t="s">
        <v>25</v>
      </c>
      <c r="M70" t="s">
        <v>26</v>
      </c>
      <c r="N70" s="5" t="s">
        <v>81</v>
      </c>
      <c r="O70">
        <v>2</v>
      </c>
      <c r="P70" s="2">
        <v>295</v>
      </c>
      <c r="Q70" s="2">
        <v>540</v>
      </c>
      <c r="R70" s="2">
        <v>490</v>
      </c>
      <c r="S70" s="2">
        <f t="shared" si="10"/>
        <v>590</v>
      </c>
      <c r="T70" s="2">
        <f t="shared" si="11"/>
        <v>1080</v>
      </c>
    </row>
    <row r="71" spans="1:20" x14ac:dyDescent="0.3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tr">
        <f t="shared" si="9"/>
        <v>Germany</v>
      </c>
      <c r="J71" t="s">
        <v>49</v>
      </c>
      <c r="K71" t="s">
        <v>135</v>
      </c>
      <c r="L71" t="s">
        <v>25</v>
      </c>
      <c r="M71" t="s">
        <v>26</v>
      </c>
      <c r="N71" s="5" t="s">
        <v>27</v>
      </c>
      <c r="O71">
        <v>2</v>
      </c>
      <c r="P71" s="2">
        <v>1252</v>
      </c>
      <c r="Q71" s="2">
        <v>2295</v>
      </c>
      <c r="R71" s="2">
        <v>2086</v>
      </c>
      <c r="S71" s="2">
        <f t="shared" si="10"/>
        <v>2504</v>
      </c>
      <c r="T71" s="2">
        <f t="shared" si="11"/>
        <v>4590</v>
      </c>
    </row>
    <row r="72" spans="1:20" x14ac:dyDescent="0.3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tr">
        <f t="shared" si="9"/>
        <v>United States</v>
      </c>
      <c r="J72" t="str">
        <f>TRIM("United States")</f>
        <v>United States</v>
      </c>
      <c r="K72" t="s">
        <v>45</v>
      </c>
      <c r="L72" t="s">
        <v>25</v>
      </c>
      <c r="M72" t="s">
        <v>26</v>
      </c>
      <c r="N72" s="5" t="s">
        <v>53</v>
      </c>
      <c r="O72">
        <v>1</v>
      </c>
      <c r="P72" s="2">
        <v>1266</v>
      </c>
      <c r="Q72" s="2">
        <v>2320</v>
      </c>
      <c r="R72" s="2">
        <v>1054</v>
      </c>
      <c r="S72" s="2">
        <f t="shared" si="10"/>
        <v>1266</v>
      </c>
      <c r="T72" s="2">
        <f t="shared" si="11"/>
        <v>2320</v>
      </c>
    </row>
    <row r="73" spans="1:20" x14ac:dyDescent="0.3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tr">
        <f t="shared" si="9"/>
        <v>Australia</v>
      </c>
      <c r="J73" t="s">
        <v>37</v>
      </c>
      <c r="K73" t="s">
        <v>73</v>
      </c>
      <c r="L73" t="s">
        <v>25</v>
      </c>
      <c r="M73" t="s">
        <v>26</v>
      </c>
      <c r="N73" s="5" t="s">
        <v>74</v>
      </c>
      <c r="O73">
        <v>4</v>
      </c>
      <c r="P73" s="2">
        <v>1898</v>
      </c>
      <c r="Q73" s="2">
        <v>3375</v>
      </c>
      <c r="R73" s="2">
        <v>5908</v>
      </c>
      <c r="S73" s="2">
        <f t="shared" si="10"/>
        <v>7592</v>
      </c>
      <c r="T73" s="2">
        <f t="shared" si="11"/>
        <v>13500</v>
      </c>
    </row>
    <row r="74" spans="1:20" x14ac:dyDescent="0.3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tr">
        <f t="shared" si="9"/>
        <v>Australia</v>
      </c>
      <c r="J74" t="s">
        <v>37</v>
      </c>
      <c r="K74" t="s">
        <v>52</v>
      </c>
      <c r="L74" t="s">
        <v>25</v>
      </c>
      <c r="M74" t="s">
        <v>26</v>
      </c>
      <c r="N74" s="5" t="s">
        <v>27</v>
      </c>
      <c r="O74">
        <v>4</v>
      </c>
      <c r="P74" s="2">
        <v>1252</v>
      </c>
      <c r="Q74" s="2">
        <v>2295</v>
      </c>
      <c r="R74" s="2">
        <v>4172</v>
      </c>
      <c r="S74" s="2">
        <f t="shared" si="10"/>
        <v>5008</v>
      </c>
      <c r="T74" s="2">
        <f t="shared" si="11"/>
        <v>9180</v>
      </c>
    </row>
    <row r="75" spans="1:20" x14ac:dyDescent="0.3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tr">
        <f t="shared" si="9"/>
        <v>Canada</v>
      </c>
      <c r="J75" t="s">
        <v>57</v>
      </c>
      <c r="K75" t="s">
        <v>58</v>
      </c>
      <c r="L75" t="s">
        <v>25</v>
      </c>
      <c r="M75" t="s">
        <v>26</v>
      </c>
      <c r="N75" s="5" t="s">
        <v>140</v>
      </c>
      <c r="O75">
        <v>3</v>
      </c>
      <c r="P75" s="2">
        <v>295</v>
      </c>
      <c r="Q75" s="2">
        <v>540</v>
      </c>
      <c r="R75" s="2">
        <v>735</v>
      </c>
      <c r="S75" s="2">
        <f t="shared" si="10"/>
        <v>885</v>
      </c>
      <c r="T75" s="2">
        <f t="shared" si="11"/>
        <v>1620</v>
      </c>
    </row>
    <row r="76" spans="1:20" x14ac:dyDescent="0.3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tr">
        <f t="shared" si="9"/>
        <v>Australia</v>
      </c>
      <c r="J76" t="s">
        <v>37</v>
      </c>
      <c r="K76" t="s">
        <v>52</v>
      </c>
      <c r="L76" t="s">
        <v>25</v>
      </c>
      <c r="M76" t="s">
        <v>26</v>
      </c>
      <c r="N76" s="5" t="s">
        <v>53</v>
      </c>
      <c r="O76">
        <v>1</v>
      </c>
      <c r="P76" s="2">
        <v>1266</v>
      </c>
      <c r="Q76" s="2">
        <v>2320</v>
      </c>
      <c r="R76" s="2">
        <v>1054</v>
      </c>
      <c r="S76" s="2">
        <f t="shared" si="10"/>
        <v>1266</v>
      </c>
      <c r="T76" s="2">
        <f t="shared" si="11"/>
        <v>2320</v>
      </c>
    </row>
    <row r="77" spans="1:20" x14ac:dyDescent="0.3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tr">
        <f t="shared" si="9"/>
        <v>Australia</v>
      </c>
      <c r="J77" t="s">
        <v>37</v>
      </c>
      <c r="K77" t="s">
        <v>73</v>
      </c>
      <c r="L77" t="s">
        <v>25</v>
      </c>
      <c r="M77" t="s">
        <v>26</v>
      </c>
      <c r="N77" s="5" t="s">
        <v>53</v>
      </c>
      <c r="O77">
        <v>1</v>
      </c>
      <c r="P77" s="2">
        <v>1266</v>
      </c>
      <c r="Q77" s="2">
        <v>2320</v>
      </c>
      <c r="R77" s="2">
        <v>1054</v>
      </c>
      <c r="S77" s="2">
        <f t="shared" si="10"/>
        <v>1266</v>
      </c>
      <c r="T77" s="2">
        <f t="shared" si="11"/>
        <v>2320</v>
      </c>
    </row>
    <row r="78" spans="1:20" x14ac:dyDescent="0.3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tr">
        <f t="shared" si="9"/>
        <v>France</v>
      </c>
      <c r="J78" t="s">
        <v>86</v>
      </c>
      <c r="K78" t="s">
        <v>144</v>
      </c>
      <c r="L78" t="s">
        <v>25</v>
      </c>
      <c r="M78" t="s">
        <v>26</v>
      </c>
      <c r="N78" s="5" t="s">
        <v>53</v>
      </c>
      <c r="O78">
        <v>3</v>
      </c>
      <c r="P78" s="2">
        <v>1266</v>
      </c>
      <c r="Q78" s="2">
        <v>2320</v>
      </c>
      <c r="R78" s="2">
        <v>3162</v>
      </c>
      <c r="S78" s="2">
        <f t="shared" si="10"/>
        <v>3798</v>
      </c>
      <c r="T78" s="2">
        <f t="shared" si="11"/>
        <v>6960</v>
      </c>
    </row>
    <row r="79" spans="1:20" x14ac:dyDescent="0.3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tr">
        <f t="shared" si="9"/>
        <v>United Kingdom</v>
      </c>
      <c r="J79" t="s">
        <v>30</v>
      </c>
      <c r="K79" t="s">
        <v>31</v>
      </c>
      <c r="L79" t="s">
        <v>25</v>
      </c>
      <c r="M79" t="s">
        <v>26</v>
      </c>
      <c r="N79" s="5" t="s">
        <v>34</v>
      </c>
      <c r="O79">
        <v>2</v>
      </c>
      <c r="P79" s="2">
        <v>420</v>
      </c>
      <c r="Q79" s="2">
        <v>769</v>
      </c>
      <c r="R79" s="2">
        <v>698</v>
      </c>
      <c r="S79" s="2">
        <f t="shared" si="10"/>
        <v>840</v>
      </c>
      <c r="T79" s="2">
        <f t="shared" si="11"/>
        <v>1538</v>
      </c>
    </row>
    <row r="80" spans="1:20" x14ac:dyDescent="0.3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tr">
        <f t="shared" si="9"/>
        <v>United States</v>
      </c>
      <c r="J80" t="str">
        <f t="shared" ref="J80:J81" si="12">TRIM("United States")</f>
        <v>United States</v>
      </c>
      <c r="K80" t="s">
        <v>45</v>
      </c>
      <c r="L80" t="s">
        <v>25</v>
      </c>
      <c r="M80" t="s">
        <v>26</v>
      </c>
      <c r="N80" s="5" t="s">
        <v>53</v>
      </c>
      <c r="O80">
        <v>3</v>
      </c>
      <c r="P80" s="2">
        <v>1266</v>
      </c>
      <c r="Q80" s="2">
        <v>2320</v>
      </c>
      <c r="R80" s="2">
        <v>3162</v>
      </c>
      <c r="S80" s="2">
        <f t="shared" si="10"/>
        <v>3798</v>
      </c>
      <c r="T80" s="2">
        <f t="shared" si="11"/>
        <v>6960</v>
      </c>
    </row>
    <row r="81" spans="1:20" x14ac:dyDescent="0.3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tr">
        <f t="shared" si="9"/>
        <v>United States</v>
      </c>
      <c r="J81" t="str">
        <f t="shared" si="12"/>
        <v>United States</v>
      </c>
      <c r="K81" t="s">
        <v>24</v>
      </c>
      <c r="L81" t="s">
        <v>25</v>
      </c>
      <c r="M81" t="s">
        <v>26</v>
      </c>
      <c r="N81" s="5" t="s">
        <v>60</v>
      </c>
      <c r="O81">
        <v>3</v>
      </c>
      <c r="P81" s="2">
        <v>1252</v>
      </c>
      <c r="Q81" s="2">
        <v>2295</v>
      </c>
      <c r="R81" s="2">
        <v>3129</v>
      </c>
      <c r="S81" s="2">
        <f t="shared" si="10"/>
        <v>3756</v>
      </c>
      <c r="T81" s="2">
        <f t="shared" si="11"/>
        <v>6885</v>
      </c>
    </row>
    <row r="82" spans="1:20" x14ac:dyDescent="0.3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tr">
        <f t="shared" si="9"/>
        <v>Australia</v>
      </c>
      <c r="J82" t="s">
        <v>37</v>
      </c>
      <c r="K82" t="s">
        <v>38</v>
      </c>
      <c r="L82" t="s">
        <v>25</v>
      </c>
      <c r="M82" t="s">
        <v>26</v>
      </c>
      <c r="N82" s="5" t="s">
        <v>66</v>
      </c>
      <c r="O82">
        <v>1</v>
      </c>
      <c r="P82" s="2">
        <v>308</v>
      </c>
      <c r="Q82" s="2">
        <v>565</v>
      </c>
      <c r="R82" s="2">
        <v>257</v>
      </c>
      <c r="S82" s="2">
        <f t="shared" si="10"/>
        <v>308</v>
      </c>
      <c r="T82" s="2">
        <f t="shared" si="11"/>
        <v>565</v>
      </c>
    </row>
    <row r="83" spans="1:20" x14ac:dyDescent="0.3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tr">
        <f t="shared" si="9"/>
        <v>France</v>
      </c>
      <c r="J83" t="s">
        <v>86</v>
      </c>
      <c r="K83" t="s">
        <v>87</v>
      </c>
      <c r="L83" t="s">
        <v>25</v>
      </c>
      <c r="M83" t="s">
        <v>26</v>
      </c>
      <c r="N83" s="5" t="s">
        <v>43</v>
      </c>
      <c r="O83">
        <v>1</v>
      </c>
      <c r="P83" s="2">
        <v>1252</v>
      </c>
      <c r="Q83" s="2">
        <v>2295</v>
      </c>
      <c r="R83" s="2">
        <v>1043</v>
      </c>
      <c r="S83" s="2">
        <f t="shared" si="10"/>
        <v>1252</v>
      </c>
      <c r="T83" s="2">
        <f t="shared" si="11"/>
        <v>2295</v>
      </c>
    </row>
    <row r="84" spans="1:20" x14ac:dyDescent="0.3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tr">
        <f t="shared" si="9"/>
        <v>Canada</v>
      </c>
      <c r="J84" t="s">
        <v>57</v>
      </c>
      <c r="K84" t="s">
        <v>58</v>
      </c>
      <c r="L84" t="s">
        <v>25</v>
      </c>
      <c r="M84" t="s">
        <v>26</v>
      </c>
      <c r="N84" s="5" t="s">
        <v>27</v>
      </c>
      <c r="O84">
        <v>1</v>
      </c>
      <c r="P84" s="2">
        <v>1252</v>
      </c>
      <c r="Q84" s="2">
        <v>2295</v>
      </c>
      <c r="R84" s="2">
        <v>1043</v>
      </c>
      <c r="S84" s="2">
        <f t="shared" si="10"/>
        <v>1252</v>
      </c>
      <c r="T84" s="2">
        <f t="shared" si="11"/>
        <v>2295</v>
      </c>
    </row>
    <row r="85" spans="1:20" x14ac:dyDescent="0.3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tr">
        <f t="shared" si="9"/>
        <v>Germany</v>
      </c>
      <c r="J85" t="s">
        <v>49</v>
      </c>
      <c r="K85" t="s">
        <v>135</v>
      </c>
      <c r="L85" t="s">
        <v>25</v>
      </c>
      <c r="M85" t="s">
        <v>26</v>
      </c>
      <c r="N85" s="5" t="s">
        <v>53</v>
      </c>
      <c r="O85">
        <v>1</v>
      </c>
      <c r="P85" s="2">
        <v>1266</v>
      </c>
      <c r="Q85" s="2">
        <v>2320</v>
      </c>
      <c r="R85" s="2">
        <v>1054</v>
      </c>
      <c r="S85" s="2">
        <f t="shared" si="10"/>
        <v>1266</v>
      </c>
      <c r="T85" s="2">
        <f t="shared" si="11"/>
        <v>2320</v>
      </c>
    </row>
    <row r="86" spans="1:20" x14ac:dyDescent="0.3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tr">
        <f t="shared" si="9"/>
        <v>United States</v>
      </c>
      <c r="J86" t="str">
        <f>TRIM("United States")</f>
        <v>United States</v>
      </c>
      <c r="K86" t="s">
        <v>69</v>
      </c>
      <c r="L86" t="s">
        <v>25</v>
      </c>
      <c r="M86" t="s">
        <v>26</v>
      </c>
      <c r="N86" s="5" t="s">
        <v>32</v>
      </c>
      <c r="O86">
        <v>1</v>
      </c>
      <c r="P86" s="2">
        <v>1266</v>
      </c>
      <c r="Q86" s="2">
        <v>2320</v>
      </c>
      <c r="R86" s="2">
        <v>1054</v>
      </c>
      <c r="S86" s="2">
        <f t="shared" si="10"/>
        <v>1266</v>
      </c>
      <c r="T86" s="2">
        <f t="shared" si="11"/>
        <v>2320</v>
      </c>
    </row>
    <row r="87" spans="1:20" x14ac:dyDescent="0.3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tr">
        <f t="shared" si="9"/>
        <v>Canada</v>
      </c>
      <c r="J87" t="s">
        <v>57</v>
      </c>
      <c r="K87" t="s">
        <v>58</v>
      </c>
      <c r="L87" t="s">
        <v>25</v>
      </c>
      <c r="M87" t="s">
        <v>26</v>
      </c>
      <c r="N87" s="5" t="s">
        <v>60</v>
      </c>
      <c r="O87">
        <v>1</v>
      </c>
      <c r="P87" s="2">
        <v>1252</v>
      </c>
      <c r="Q87" s="2">
        <v>2295</v>
      </c>
      <c r="R87" s="2">
        <v>1043</v>
      </c>
      <c r="S87" s="2">
        <f t="shared" si="10"/>
        <v>1252</v>
      </c>
      <c r="T87" s="2">
        <f t="shared" si="11"/>
        <v>2295</v>
      </c>
    </row>
    <row r="88" spans="1:20" x14ac:dyDescent="0.3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tr">
        <f t="shared" si="9"/>
        <v>United States</v>
      </c>
      <c r="J88" t="str">
        <f>TRIM("United States")</f>
        <v>United States</v>
      </c>
      <c r="K88" t="s">
        <v>24</v>
      </c>
      <c r="L88" t="s">
        <v>25</v>
      </c>
      <c r="M88" t="s">
        <v>26</v>
      </c>
      <c r="N88" s="5" t="s">
        <v>70</v>
      </c>
      <c r="O88">
        <v>1</v>
      </c>
      <c r="P88" s="2">
        <v>295</v>
      </c>
      <c r="Q88" s="2">
        <v>540</v>
      </c>
      <c r="R88" s="2">
        <v>245</v>
      </c>
      <c r="S88" s="2">
        <f t="shared" si="10"/>
        <v>295</v>
      </c>
      <c r="T88" s="2">
        <f t="shared" si="11"/>
        <v>540</v>
      </c>
    </row>
    <row r="89" spans="1:20" x14ac:dyDescent="0.3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tr">
        <f t="shared" si="9"/>
        <v>Australia</v>
      </c>
      <c r="J89" t="s">
        <v>37</v>
      </c>
      <c r="K89" t="s">
        <v>52</v>
      </c>
      <c r="L89" t="s">
        <v>25</v>
      </c>
      <c r="M89" t="s">
        <v>26</v>
      </c>
      <c r="N89" s="5" t="s">
        <v>60</v>
      </c>
      <c r="O89">
        <v>4</v>
      </c>
      <c r="P89" s="2">
        <v>1252</v>
      </c>
      <c r="Q89" s="2">
        <v>2295</v>
      </c>
      <c r="R89" s="2">
        <v>4172</v>
      </c>
      <c r="S89" s="2">
        <f t="shared" si="10"/>
        <v>5008</v>
      </c>
      <c r="T89" s="2">
        <f t="shared" si="11"/>
        <v>9180</v>
      </c>
    </row>
    <row r="93" spans="1:20" x14ac:dyDescent="0.3">
      <c r="G93" s="8" t="str">
        <f>TRIM("United States")</f>
        <v>United States</v>
      </c>
    </row>
  </sheetData>
  <autoFilter ref="A1:T89" xr:uid="{00000000-0001-0000-0000-000000000000}"/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522B-AEF0-4E8F-BDC8-6F237EF66355}">
  <dimension ref="A3:H14"/>
  <sheetViews>
    <sheetView tabSelected="1" workbookViewId="0">
      <selection activeCell="I6" sqref="I6"/>
    </sheetView>
  </sheetViews>
  <sheetFormatPr defaultRowHeight="14.4" x14ac:dyDescent="0.3"/>
  <cols>
    <col min="1" max="1" width="20.77734375" bestFit="1" customWidth="1"/>
    <col min="2" max="2" width="14.44140625" customWidth="1"/>
    <col min="3" max="3" width="12.88671875" customWidth="1"/>
    <col min="4" max="4" width="14.109375" customWidth="1"/>
    <col min="5" max="5" width="13.77734375" customWidth="1"/>
    <col min="6" max="6" width="14.77734375" bestFit="1" customWidth="1"/>
    <col min="7" max="7" width="12.21875" bestFit="1" customWidth="1"/>
    <col min="8" max="8" width="10.77734375" bestFit="1" customWidth="1"/>
    <col min="9" max="9" width="12.6640625" bestFit="1" customWidth="1"/>
    <col min="10" max="10" width="10.77734375" bestFit="1" customWidth="1"/>
    <col min="11" max="11" width="20" bestFit="1" customWidth="1"/>
    <col min="12" max="12" width="14.77734375" bestFit="1" customWidth="1"/>
    <col min="13" max="13" width="20" bestFit="1" customWidth="1"/>
    <col min="14" max="14" width="12.21875" bestFit="1" customWidth="1"/>
    <col min="15" max="15" width="20" bestFit="1" customWidth="1"/>
    <col min="16" max="16" width="12.6640625" bestFit="1" customWidth="1"/>
    <col min="17" max="17" width="20" bestFit="1" customWidth="1"/>
    <col min="18" max="18" width="14" bestFit="1" customWidth="1"/>
    <col min="19" max="19" width="24.77734375" bestFit="1" customWidth="1"/>
  </cols>
  <sheetData>
    <row r="3" spans="1:8" x14ac:dyDescent="0.3">
      <c r="A3" s="18" t="s">
        <v>159</v>
      </c>
      <c r="B3" s="18" t="s">
        <v>8</v>
      </c>
    </row>
    <row r="4" spans="1:8" x14ac:dyDescent="0.3">
      <c r="A4" s="18" t="s">
        <v>158</v>
      </c>
      <c r="B4" t="s">
        <v>37</v>
      </c>
      <c r="C4" t="s">
        <v>57</v>
      </c>
      <c r="D4" t="s">
        <v>86</v>
      </c>
      <c r="E4" t="s">
        <v>49</v>
      </c>
      <c r="F4" t="s">
        <v>30</v>
      </c>
      <c r="G4" t="s">
        <v>23</v>
      </c>
      <c r="H4" s="20" t="s">
        <v>157</v>
      </c>
    </row>
    <row r="5" spans="1:8" x14ac:dyDescent="0.3">
      <c r="A5" s="8" t="s">
        <v>42</v>
      </c>
      <c r="B5" s="21">
        <v>11</v>
      </c>
      <c r="C5" s="21">
        <v>0</v>
      </c>
      <c r="D5" s="21">
        <v>10</v>
      </c>
      <c r="E5" s="21">
        <v>0</v>
      </c>
      <c r="F5" s="21">
        <v>6</v>
      </c>
      <c r="G5" s="21">
        <v>0</v>
      </c>
      <c r="H5" s="21">
        <v>27</v>
      </c>
    </row>
    <row r="6" spans="1:8" x14ac:dyDescent="0.3">
      <c r="A6" s="19" t="s">
        <v>22</v>
      </c>
      <c r="B6" s="21">
        <v>9</v>
      </c>
      <c r="C6" s="21">
        <v>0</v>
      </c>
      <c r="D6" s="21">
        <v>6</v>
      </c>
      <c r="E6" s="21">
        <v>0</v>
      </c>
      <c r="F6" s="21">
        <v>1</v>
      </c>
      <c r="G6" s="21">
        <v>0</v>
      </c>
      <c r="H6" s="21">
        <v>16</v>
      </c>
    </row>
    <row r="7" spans="1:8" x14ac:dyDescent="0.3">
      <c r="A7" s="19" t="s">
        <v>29</v>
      </c>
      <c r="B7" s="21">
        <v>2</v>
      </c>
      <c r="C7" s="21">
        <v>0</v>
      </c>
      <c r="D7" s="21">
        <v>4</v>
      </c>
      <c r="E7" s="21">
        <v>0</v>
      </c>
      <c r="F7" s="21">
        <v>5</v>
      </c>
      <c r="G7" s="21">
        <v>0</v>
      </c>
      <c r="H7" s="21">
        <v>11</v>
      </c>
    </row>
    <row r="8" spans="1:8" x14ac:dyDescent="0.3">
      <c r="A8" s="8" t="s">
        <v>36</v>
      </c>
      <c r="B8" s="21">
        <v>20</v>
      </c>
      <c r="C8" s="21">
        <v>11</v>
      </c>
      <c r="D8" s="21">
        <v>10</v>
      </c>
      <c r="E8" s="21">
        <v>0</v>
      </c>
      <c r="F8" s="21">
        <v>4</v>
      </c>
      <c r="G8" s="21">
        <v>16</v>
      </c>
      <c r="H8" s="21">
        <v>61</v>
      </c>
    </row>
    <row r="9" spans="1:8" x14ac:dyDescent="0.3">
      <c r="A9" s="19" t="s">
        <v>22</v>
      </c>
      <c r="B9" s="21">
        <v>17</v>
      </c>
      <c r="C9" s="21">
        <v>6</v>
      </c>
      <c r="D9" s="21">
        <v>1</v>
      </c>
      <c r="E9" s="21">
        <v>0</v>
      </c>
      <c r="F9" s="21">
        <v>3</v>
      </c>
      <c r="G9" s="21">
        <v>10</v>
      </c>
      <c r="H9" s="21">
        <v>37</v>
      </c>
    </row>
    <row r="10" spans="1:8" x14ac:dyDescent="0.3">
      <c r="A10" s="19" t="s">
        <v>29</v>
      </c>
      <c r="B10" s="21">
        <v>3</v>
      </c>
      <c r="C10" s="21">
        <v>5</v>
      </c>
      <c r="D10" s="21">
        <v>9</v>
      </c>
      <c r="E10" s="21">
        <v>0</v>
      </c>
      <c r="F10" s="21">
        <v>1</v>
      </c>
      <c r="G10" s="21">
        <v>6</v>
      </c>
      <c r="H10" s="21">
        <v>24</v>
      </c>
    </row>
    <row r="11" spans="1:8" x14ac:dyDescent="0.3">
      <c r="A11" s="8" t="s">
        <v>21</v>
      </c>
      <c r="B11" s="21">
        <v>32</v>
      </c>
      <c r="C11" s="21">
        <v>0</v>
      </c>
      <c r="D11" s="21">
        <v>0</v>
      </c>
      <c r="E11" s="21">
        <v>13</v>
      </c>
      <c r="F11" s="21">
        <v>4</v>
      </c>
      <c r="G11" s="21">
        <v>50</v>
      </c>
      <c r="H11" s="21">
        <v>99</v>
      </c>
    </row>
    <row r="12" spans="1:8" x14ac:dyDescent="0.3">
      <c r="A12" s="19" t="s">
        <v>22</v>
      </c>
      <c r="B12" s="21">
        <v>17</v>
      </c>
      <c r="C12" s="21">
        <v>0</v>
      </c>
      <c r="D12" s="21">
        <v>0</v>
      </c>
      <c r="E12" s="21">
        <v>8</v>
      </c>
      <c r="F12" s="21">
        <v>1</v>
      </c>
      <c r="G12" s="21">
        <v>29</v>
      </c>
      <c r="H12" s="21">
        <v>55</v>
      </c>
    </row>
    <row r="13" spans="1:8" x14ac:dyDescent="0.3">
      <c r="A13" s="19" t="s">
        <v>29</v>
      </c>
      <c r="B13" s="21">
        <v>15</v>
      </c>
      <c r="C13" s="21">
        <v>0</v>
      </c>
      <c r="D13" s="21">
        <v>0</v>
      </c>
      <c r="E13" s="21">
        <v>5</v>
      </c>
      <c r="F13" s="21">
        <v>3</v>
      </c>
      <c r="G13" s="21">
        <v>21</v>
      </c>
      <c r="H13" s="21">
        <v>44</v>
      </c>
    </row>
    <row r="14" spans="1:8" x14ac:dyDescent="0.3">
      <c r="A14" s="8" t="s">
        <v>157</v>
      </c>
      <c r="B14" s="21">
        <v>63</v>
      </c>
      <c r="C14" s="21">
        <v>11</v>
      </c>
      <c r="D14" s="21">
        <v>20</v>
      </c>
      <c r="E14" s="21">
        <v>13</v>
      </c>
      <c r="F14" s="21">
        <v>14</v>
      </c>
      <c r="G14" s="21">
        <v>66</v>
      </c>
      <c r="H14" s="21">
        <v>187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A6779EE8AE884CBC5592A5DDCBD630" ma:contentTypeVersion="11" ma:contentTypeDescription="Create a new document." ma:contentTypeScope="" ma:versionID="295e719e595de3a5486b205bcbd9bb12">
  <xsd:schema xmlns:xsd="http://www.w3.org/2001/XMLSchema" xmlns:xs="http://www.w3.org/2001/XMLSchema" xmlns:p="http://schemas.microsoft.com/office/2006/metadata/properties" xmlns:ns2="e678324e-29ea-4a9d-96f3-9c8ea2a85eb3" xmlns:ns3="aed9edca-548a-45a6-aac5-f15d86531b89" targetNamespace="http://schemas.microsoft.com/office/2006/metadata/properties" ma:root="true" ma:fieldsID="5ab8bf95f15faa55654201201eac1532" ns2:_="" ns3:_="">
    <xsd:import namespace="e678324e-29ea-4a9d-96f3-9c8ea2a85eb3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8324e-29ea-4a9d-96f3-9c8ea2a85e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78324e-29ea-4a9d-96f3-9c8ea2a85eb3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5F411D-81DA-4134-9EDA-FBE36B2965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78324e-29ea-4a9d-96f3-9c8ea2a85eb3"/>
    <ds:schemaRef ds:uri="aed9edca-548a-45a6-aac5-f15d86531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  <ds:schemaRef ds:uri="e678324e-29ea-4a9d-96f3-9c8ea2a85eb3"/>
    <ds:schemaRef ds:uri="aed9edca-548a-45a6-aac5-f15d86531b89"/>
  </ds:schemaRefs>
</ds:datastoreItem>
</file>

<file path=customXml/itemProps3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Sheet5</vt:lpstr>
      <vt:lpstr>Sheet6</vt:lpstr>
      <vt:lpstr>Bike Sales</vt:lpstr>
      <vt:lpstr>Final PivotTables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Kieran Salaria</cp:lastModifiedBy>
  <cp:revision/>
  <dcterms:created xsi:type="dcterms:W3CDTF">2022-11-04T20:14:11Z</dcterms:created>
  <dcterms:modified xsi:type="dcterms:W3CDTF">2025-12-03T13:58:05Z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0x010100C6A6779EE8AE884CBC5592A5DDCBD630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